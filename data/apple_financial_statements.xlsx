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come Statement" sheetId="1" state="visible" r:id="rId3"/>
    <sheet name="Balance Sheet" sheetId="2" state="visible" r:id="rId4"/>
    <sheet name="Cash Flow Statement" sheetId="3" state="visible" r:id="rId5"/>
    <sheet name="Ratio Analysis" sheetId="4" state="visible" r:id="rId6"/>
    <sheet name="Comps Analysis" sheetId="5" state="visible" r:id="rId7"/>
    <sheet name="DCF Valuation" sheetId="6" state="visible" r:id="rId8"/>
    <sheet name="Altman Z-Score" sheetId="7" state="visible" r:id="rId9"/>
  </sheets>
  <definedNames>
    <definedName function="false" hidden="false" localSheetId="6" name="_xlnm.Print_Area" vbProcedure="false">'Altman Z-Score'!$A$1:$B$19</definedName>
    <definedName function="false" hidden="false" localSheetId="1" name="_xlnm.Print_Area" vbProcedure="false">'Balance Sheet'!$A$1:$I$48</definedName>
    <definedName function="false" hidden="false" localSheetId="2" name="_xlnm.Print_Area" vbProcedure="false">'Cash Flow Statement'!$A$1:$F$45</definedName>
    <definedName function="false" hidden="false" localSheetId="4" name="_xlnm.Print_Area" vbProcedure="false">'Comps Analysis'!$A$1:$C$12</definedName>
    <definedName function="false" hidden="false" localSheetId="5" name="_xlnm.Print_Area" vbProcedure="false">'DCF Valuation'!$A$1:$F$50</definedName>
    <definedName function="false" hidden="false" localSheetId="0" name="_xlnm.Print_Area" vbProcedure="false">'Income Statement'!$A$1:$I$27</definedName>
    <definedName function="false" hidden="false" localSheetId="3" name="_xlnm.Print_Area" vbProcedure="false">'Ratio Analysis'!$A$1:$D$20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FY2023 total taken directly from 10-K (line-item breakdown for FY2023 operating changes not fully disclosed in the comparative column used); B column above shows only items available for FY2023.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Manar Mohammed:
Source: Apple 10-K FY2023, Note 6 - Other Income/(Expense) breakdown. Interest expense not separately disclosed by Apple from FY2024 onward.</t>
        </r>
      </text>
    </comment>
  </commentList>
</comments>
</file>

<file path=xl/sharedStrings.xml><?xml version="1.0" encoding="utf-8"?>
<sst xmlns="http://schemas.openxmlformats.org/spreadsheetml/2006/main" count="230" uniqueCount="209">
  <si>
    <t xml:space="preserve">Apple Inc. — Consolidated Statements of Operations</t>
  </si>
  <si>
    <t xml:space="preserve">(In millions USD, except per-share amounts) — Fiscal Years Ended Sept</t>
  </si>
  <si>
    <t xml:space="preserve">Income Statement Item</t>
  </si>
  <si>
    <t xml:space="preserve">FY2023</t>
  </si>
  <si>
    <t xml:space="preserve">FY2024</t>
  </si>
  <si>
    <t xml:space="preserve">FY2025</t>
  </si>
  <si>
    <t xml:space="preserve">FY24 vs FY23 %</t>
  </si>
  <si>
    <t xml:space="preserve">FY25 vs FY24 %</t>
  </si>
  <si>
    <t xml:space="preserve">FY23 % Sales</t>
  </si>
  <si>
    <t xml:space="preserve">FY24 % Sales</t>
  </si>
  <si>
    <t xml:space="preserve">FY25 % Sales</t>
  </si>
  <si>
    <t xml:space="preserve">Net Sales:</t>
  </si>
  <si>
    <t xml:space="preserve">Products</t>
  </si>
  <si>
    <t xml:space="preserve">Services</t>
  </si>
  <si>
    <t xml:space="preserve">Total Net Sales</t>
  </si>
  <si>
    <t xml:space="preserve">Cost of Sales:</t>
  </si>
  <si>
    <t xml:space="preserve">Total Cost of Sales</t>
  </si>
  <si>
    <t xml:space="preserve">Gross Margin</t>
  </si>
  <si>
    <t xml:space="preserve">Operating Expenses:</t>
  </si>
  <si>
    <t xml:space="preserve">Research and Development</t>
  </si>
  <si>
    <t xml:space="preserve">Selling, General and Administrative</t>
  </si>
  <si>
    <t xml:space="preserve">Total Operating Expenses</t>
  </si>
  <si>
    <t xml:space="preserve">Operating Income (EBIT)</t>
  </si>
  <si>
    <t xml:space="preserve">Other Income/(Expense), net</t>
  </si>
  <si>
    <t xml:space="preserve">Income Before Provision for Income Taxes</t>
  </si>
  <si>
    <t xml:space="preserve">Provision for Income Taxes</t>
  </si>
  <si>
    <t xml:space="preserve">Net Income</t>
  </si>
  <si>
    <t xml:space="preserve">Earnings Per Share — Basic ($)</t>
  </si>
  <si>
    <t xml:space="preserve">Earnings Per Share — Diluted ($)</t>
  </si>
  <si>
    <t xml:space="preserve">Sources: Apple Inc. Form 10-K, FY2023 (period ended Sep 30, 2023), SEC EDGAR: https://www.sec.gov/Archives/edgar/data/320193/000032019323000106/aapl-20230930.htm | Apple Inc. Form 10-K, FY2025 (period ended Sep 27, 2025), SEC EDGAR: https://www.sec.gov/Archives/edgar/data/320193/000032019325000079/aapl-20250927.htm | Apple Inc. Official FY2025 Q4 Consolidated Financial Statements (press release): https://www.apple.com/newsroom/pdfs/fy2025-q4/FY25_Q4_Consolidated_Financial_Statements.pdf</t>
  </si>
  <si>
    <t xml:space="preserve">Apple Inc. — Consolidated Balance Sheets</t>
  </si>
  <si>
    <t xml:space="preserve">(In millions USD) — As of Fiscal Year-End (last Saturday of September)</t>
  </si>
  <si>
    <t xml:space="preserve">Balance Sheet Item</t>
  </si>
  <si>
    <t xml:space="preserve">Sep-2023</t>
  </si>
  <si>
    <t xml:space="preserve">Sep-2024</t>
  </si>
  <si>
    <t xml:space="preserve">Sep-2025</t>
  </si>
  <si>
    <t xml:space="preserve">FY23 % Assets</t>
  </si>
  <si>
    <t xml:space="preserve">FY24 % Assets</t>
  </si>
  <si>
    <t xml:space="preserve">FY25 % Assets</t>
  </si>
  <si>
    <t xml:space="preserve">ASSETS</t>
  </si>
  <si>
    <t xml:space="preserve">Current Assets:</t>
  </si>
  <si>
    <t xml:space="preserve">Cash and Cash Equivalents</t>
  </si>
  <si>
    <t xml:space="preserve">Marketable Securities (Current)</t>
  </si>
  <si>
    <t xml:space="preserve">Accounts Receivable, net</t>
  </si>
  <si>
    <t xml:space="preserve">Vendor Non-Trade Receivables</t>
  </si>
  <si>
    <t xml:space="preserve">Inventories</t>
  </si>
  <si>
    <t xml:space="preserve">Other Current Assets</t>
  </si>
  <si>
    <t xml:space="preserve">Total Current Assets</t>
  </si>
  <si>
    <t xml:space="preserve">Non-Current Assets:</t>
  </si>
  <si>
    <t xml:space="preserve">Marketable Securities (Non-Current)</t>
  </si>
  <si>
    <t xml:space="preserve">Property, Plant and Equipment, net</t>
  </si>
  <si>
    <t xml:space="preserve">Other Non-Current Assets</t>
  </si>
  <si>
    <t xml:space="preserve">Total Non-Current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</si>
  <si>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</si>
  <si>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</si>
  <si>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</si>
  <si>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</si>
  <si>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Other Current Liabilities</t>
  </si>
  <si>
    <t xml:space="preserve">Deferred Revenue</t>
  </si>
  <si>
    <t xml:space="preserve">Commercial Paper</t>
  </si>
  <si>
    <t xml:space="preserve">Term Debt (Current)</t>
  </si>
  <si>
    <t xml:space="preserve">Total Current Liabilities</t>
  </si>
  <si>
    <t xml:space="preserve">Non-Current Liabilities:</t>
  </si>
  <si>
    <t xml:space="preserve">Term Debt (Non-Current)</t>
  </si>
  <si>
    <t xml:space="preserve">Other Non-Current Liabilities</t>
  </si>
  <si>
    <t xml:space="preserve">Total Non-Current Liabilities</t>
  </si>
  <si>
    <t xml:space="preserve">TOTAL LIABILITIES</t>
  </si>
  <si>
    <t xml:space="preserve">Shareholders' Equity:</t>
  </si>
  <si>
    <t xml:space="preserve">Common Stock and Additional Paid-in Capital</t>
  </si>
  <si>
    <t xml:space="preserve">Retained Earnings / (Accumulated Deficit)</t>
  </si>
  <si>
    <t xml:space="preserve">Accumulated Other Comprehensive Loss</t>
  </si>
  <si>
    <t xml:space="preserve">TOTAL SHAREHOLDERS' EQUITY</t>
  </si>
  <si>
    <t xml:space="preserve">TOTAL LIABILITIES AND SHAREHOLDERS' EQUITY</t>
  </si>
  <si>
    <t xml:space="preserve">Balance Check (should be 0)</t>
  </si>
  <si>
    <t xml:space="preserve">Reference: Prior-Year Closing Balances (for Average Ratio Calculations)</t>
  </si>
  <si>
    <t xml:space="preserve">Total Assets (Sep-2022)</t>
  </si>
  <si>
    <t xml:space="preserve">Total Shareholders' Equity (Sep-2022)</t>
  </si>
  <si>
    <t xml:space="preserve">Sources: Apple Inc. Form 10-K, FY2023 (period ended Sep 30, 2023), SEC EDGAR: https://www.sec.gov/Archives/edgar/data/320193/000032019323000106/aapl-20230930.htm | Apple Inc. Official FY2025 Q4 Consolidated Financial Statements (press release): https://www.apple.com/newsroom/pdfs/fy2025-q4/FY25_Q4_Consolidated_Financial_Statements.pdf | Apple Inc. Official FY2024 Q1 Consolidated Financial Statements (press release, shows Sep 30 2023 comparative column): https://www.apple.com/newsroom/pdfs/fy2024-q1/FY24_Q1_Consolidated_Financial_Statements.pdf</t>
  </si>
  <si>
    <t xml:space="preserve">Apple Inc. — Consolidated Statements of Cash Flows</t>
  </si>
  <si>
    <t xml:space="preserve">(In millions USD) — Fiscal Years Ended Sept</t>
  </si>
  <si>
    <t xml:space="preserve">Cash Flow Item</t>
  </si>
  <si>
    <t xml:space="preserve">Cash, Cash Equivalents and Restricted Cash — Beginning</t>
  </si>
  <si>
    <t xml:space="preserve">Operating Activities:</t>
  </si>
  <si>
    <t xml:space="preserve">Depreciation and Amortization</t>
  </si>
  <si>
    <t xml:space="preserve">Share-Based Compensation Expense</t>
  </si>
  <si>
    <t xml:space="preserve">Other</t>
  </si>
  <si>
    <t xml:space="preserve">Change in Accounts Receivable, net</t>
  </si>
  <si>
    <t xml:space="preserve">Change in Vendor Non-Trade Receivables</t>
  </si>
  <si>
    <t xml:space="preserve">Change in Inventories</t>
  </si>
  <si>
    <t xml:space="preserve">Change in Other Current and Non-Current Assets</t>
  </si>
  <si>
    <t xml:space="preserve">Change in Accounts Payable</t>
  </si>
  <si>
    <t xml:space="preserve">Change in Other Current and Non-Current Liabilities</t>
  </si>
  <si>
    <t xml:space="preserve">Cash Generated by Operating Activities</t>
  </si>
  <si>
    <t xml:space="preserve">Investing Activities:</t>
  </si>
  <si>
    <t xml:space="preserve">Purchases of Marketable Securities</t>
  </si>
  <si>
    <t xml:space="preserve">Proceeds from Maturities of Marketable Securities</t>
  </si>
  <si>
    <t xml:space="preserve">Proceeds from Sales of Marketable Securities</t>
  </si>
  <si>
    <t xml:space="preserve">Payments for Acquisition of PP&amp;E</t>
  </si>
  <si>
    <t xml:space="preserve">Cash Generated by Investing Activities</t>
  </si>
  <si>
    <t xml:space="preserve">Financing Activities:</t>
  </si>
  <si>
    <t xml:space="preserve">Payments for Taxes Related to Net Share Settlement of Equity Awards</t>
  </si>
  <si>
    <t xml:space="preserve">Payments for Dividends and Dividend Equivalents</t>
  </si>
  <si>
    <t xml:space="preserve">Repurchases of Common Stock</t>
  </si>
  <si>
    <t xml:space="preserve">Proceeds from Issuance of Term Debt, net</t>
  </si>
  <si>
    <t xml:space="preserve">Repayments of Term Debt</t>
  </si>
  <si>
    <t xml:space="preserve">Proceeds from/(Repayments of) Commercial Paper, net</t>
  </si>
  <si>
    <t xml:space="preserve">Cash Used in Financing Activities</t>
  </si>
  <si>
    <t xml:space="preserve">Increase/(Decrease) in Cash, Cash Equivalents and Restricted Cash</t>
  </si>
  <si>
    <t xml:space="preserve">Cash, Cash Equivalents and Restricted Cash — Ending</t>
  </si>
  <si>
    <t xml:space="preserve">Supplemental Disclosure:</t>
  </si>
  <si>
    <t xml:space="preserve">Cash Paid for Income Taxes, net</t>
  </si>
  <si>
    <t xml:space="preserve">Cash Paid for Interest</t>
  </si>
  <si>
    <t xml:space="preserve">Ratio</t>
  </si>
  <si>
    <t xml:space="preserve">Liquidity Ratios</t>
  </si>
  <si>
    <t xml:space="preserve">Current Ratio</t>
  </si>
  <si>
    <t xml:space="preserve">Quick Ratio</t>
  </si>
  <si>
    <t xml:space="preserve">Cash Ratio</t>
  </si>
  <si>
    <t xml:space="preserve">Profitability Ratios</t>
  </si>
  <si>
    <t xml:space="preserve">Gross Margin %</t>
  </si>
  <si>
    <t xml:space="preserve">Operating Margin %</t>
  </si>
  <si>
    <t xml:space="preserve">Net Profit Margin %</t>
  </si>
  <si>
    <t xml:space="preserve">Return on Assets (ROA) </t>
  </si>
  <si>
    <t xml:space="preserve">Return on Equity (ROE)</t>
  </si>
  <si>
    <t xml:space="preserve"> Leverage/Solvency Ratios </t>
  </si>
  <si>
    <t xml:space="preserve">Debt-to-Equity Ratio</t>
  </si>
  <si>
    <t xml:space="preserve">Interest Coverage Ratio (FY2023 only)</t>
  </si>
  <si>
    <t xml:space="preserve">Efficiency Ratios</t>
  </si>
  <si>
    <t xml:space="preserve">Inventory Turnover</t>
  </si>
  <si>
    <t xml:space="preserve">Receivables Turnover</t>
  </si>
  <si>
    <t xml:space="preserve">Days Sales Outstanding (DSO)</t>
  </si>
  <si>
    <t xml:space="preserve">Payables Turnover</t>
  </si>
  <si>
    <t xml:space="preserve">Days Payable Outstanding (DPO)</t>
  </si>
  <si>
    <t xml:space="preserve">Company</t>
  </si>
  <si>
    <t xml:space="preserve">Trailing P/E</t>
  </si>
  <si>
    <t xml:space="preserve">EV/EBITDA</t>
  </si>
  <si>
    <t xml:space="preserve">Peer Group</t>
  </si>
  <si>
    <t xml:space="preserve">Apple (AAPL)</t>
  </si>
  <si>
    <t xml:space="preserve">Microsoft (MSFT)</t>
  </si>
  <si>
    <t xml:space="preserve">Alphabet (GOOGL)</t>
  </si>
  <si>
    <t xml:space="preserve">Peer Average (excl. Apple)</t>
  </si>
  <si>
    <t xml:space="preserve">Implied Valuation</t>
  </si>
  <si>
    <t xml:space="preserve">Apple Actual Stock Price</t>
  </si>
  <si>
    <t xml:space="preserve">Apple EPS (TTM)</t>
  </si>
  <si>
    <t xml:space="preserve">Apple EBITDA (TTM, $M)</t>
  </si>
  <si>
    <t xml:space="preserve">Implied Price per Share (P/E Method)</t>
  </si>
  <si>
    <t xml:space="preserve">Implied Enterprise Value, $M (EV/EBITDA Method)</t>
  </si>
  <si>
    <t xml:space="preserve">Unlevered FCF Build-up</t>
  </si>
  <si>
    <t xml:space="preserve">EBIT (Operating Income)</t>
  </si>
  <si>
    <t xml:space="preserve">Effective Tax Rate</t>
  </si>
  <si>
    <t xml:space="preserve">NOPAT</t>
  </si>
  <si>
    <t xml:space="preserve">(+) Depreciation &amp; Amortization</t>
  </si>
  <si>
    <t xml:space="preserve">(-) Capital Expenditures </t>
  </si>
  <si>
    <t xml:space="preserve">Operating Current Assets (excl. Cash)</t>
  </si>
  <si>
    <t xml:space="preserve">Operating Current Liabilities (excl. short-term debt)</t>
  </si>
  <si>
    <t xml:space="preserve">Net Working Capital</t>
  </si>
  <si>
    <t xml:space="preserve">Change in NWC</t>
  </si>
  <si>
    <t xml:space="preserve">(+) Decrease / (-) Increase in NWC → FCF Impact</t>
  </si>
  <si>
    <t xml:space="preserve">Unlevered Free Cash Flow (UFCF)</t>
  </si>
  <si>
    <t xml:space="preserve">FCF Margin (FY2025, base year)</t>
  </si>
  <si>
    <t xml:space="preserve">Projection Years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</si>
  <si>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</si>
  <si>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</si>
  <si>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</si>
  <si>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</si>
  <si>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</si>
  <si>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Revenue Growth Rate (Assumption)</t>
  </si>
  <si>
    <t xml:space="preserve">Projected Revenue</t>
  </si>
  <si>
    <t xml:space="preserve">Projected Unlevered FCF</t>
  </si>
  <si>
    <t xml:space="preserve">Discount Period (n)</t>
  </si>
  <si>
    <t xml:space="preserve">Present Value of UFCF</t>
  </si>
  <si>
    <t xml:space="preserve">Risk-Free Rate</t>
  </si>
  <si>
    <t xml:space="preserve">Beta</t>
  </si>
  <si>
    <t xml:space="preserve">Equity Risk Premium</t>
  </si>
  <si>
    <t xml:space="preserve">Cost of Equity (CAPM)</t>
  </si>
  <si>
    <t xml:space="preserve">Market Value of Equity E</t>
  </si>
  <si>
    <t xml:space="preserve">Total Debt (D)</t>
  </si>
  <si>
    <t xml:space="preserve">Total Capital (V = E + D)</t>
  </si>
  <si>
    <t xml:space="preserve">Weight of Equity (E/V)</t>
  </si>
  <si>
    <t xml:space="preserve">Weight of Debt (D/V)</t>
  </si>
  <si>
    <t xml:space="preserve">Cost of Debt (Pre-Tax)</t>
  </si>
  <si>
    <t xml:space="preserve">After-Tax Cost of Debt</t>
  </si>
  <si>
    <t xml:space="preserve">WACC</t>
  </si>
  <si>
    <t xml:space="preserve">Perpetuity Growth Rate (g)</t>
  </si>
  <si>
    <t xml:space="preserve">Terminal Value (at end of FY2030)</t>
  </si>
  <si>
    <t xml:space="preserve">Present Value of Terminal Value</t>
  </si>
  <si>
    <t xml:space="preserve">Sum of PV of Projected UFCF (FY2026-2030)</t>
  </si>
  <si>
    <t xml:space="preserve">Enterprise Value (EV)</t>
  </si>
  <si>
    <t xml:space="preserve">(-) Total Debt</t>
  </si>
  <si>
    <t xml:space="preserve">(+) Cash and Cash Equivalents</t>
  </si>
  <si>
    <t xml:space="preserve">Equity Value</t>
  </si>
  <si>
    <t xml:space="preserve">Shares Outstanding (millions)</t>
  </si>
  <si>
    <t xml:space="preserve">Implied Share Price (DCF)</t>
  </si>
  <si>
    <t xml:space="preserve">Working Capital / Total Assets</t>
  </si>
  <si>
    <t xml:space="preserve">Working Capital</t>
  </si>
  <si>
    <t xml:space="preserve">Total Assets</t>
  </si>
  <si>
    <t xml:space="preserve">A = Working Capital / Total Assets</t>
  </si>
  <si>
    <t xml:space="preserve">Retained Earnings / Total Assets</t>
  </si>
  <si>
    <t xml:space="preserve">Retained Earnings/(Accumulated Deficit)</t>
  </si>
  <si>
    <t xml:space="preserve">B = Retained Earnings / Total Assets</t>
  </si>
  <si>
    <t xml:space="preserve">EBIT / Total Assets</t>
  </si>
  <si>
    <t xml:space="preserve">EBIT</t>
  </si>
  <si>
    <t xml:space="preserve">C = EBIT / Total Assets</t>
  </si>
  <si>
    <t xml:space="preserve">Market Value of Equity / Total Liabilities</t>
  </si>
  <si>
    <t xml:space="preserve">Market Value of Equity</t>
  </si>
  <si>
    <t xml:space="preserve">Total Liabilities</t>
  </si>
  <si>
    <t xml:space="preserve">D = Market Value of Equity / Total Liabilities</t>
  </si>
  <si>
    <t xml:space="preserve">Sales / Total Assets</t>
  </si>
  <si>
    <t xml:space="preserve">E = Sales / Total Assets</t>
  </si>
  <si>
    <t xml:space="preserve">Altman Z-Score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</si>
</sst>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#,##0;\(#,##0\);\-"/>
    <numFmt numFmtId="167" formatCode="\$0.00"/>
    <numFmt numFmtId="168" formatCode="0.00"/>
    <numFmt numFmtId="169" formatCode="#,##0.00;\(#,##0.00\);\-"/>
    <numFmt numFmtId="170" formatCode="0"/>
    <numFmt numFmtId="171" formatCode="0.000"/>
    <numFmt numFmtId="172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BDD7EE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71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5"/>
    <col collapsed="false" customWidth="true" hidden="false" outlineLevel="0" max="4" min="4" style="1" width="8.22"/>
    <col collapsed="false" customWidth="true" hidden="false" outlineLevel="0" max="6" min="5" style="1" width="16.77"/>
    <col collapsed="false" customWidth="true" hidden="false" outlineLevel="0" max="9" min="7" style="1" width="14.33"/>
  </cols>
  <sheetData>
    <row r="1" customFormat="false" ht="15.75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 t="s">
        <v>1</v>
      </c>
    </row>
    <row r="4" customFormat="false" ht="14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4" t="s">
        <v>8</v>
      </c>
      <c r="H4" s="5" t="s">
        <v>9</v>
      </c>
      <c r="I4" s="5" t="s">
        <v>10</v>
      </c>
    </row>
    <row r="5" customFormat="false" ht="14.25" hidden="false" customHeight="true" outlineLevel="0" collapsed="false">
      <c r="A5" s="6" t="s">
        <v>11</v>
      </c>
      <c r="B5" s="6"/>
      <c r="C5" s="6"/>
      <c r="D5" s="6"/>
      <c r="E5" s="7"/>
      <c r="F5" s="7"/>
      <c r="G5" s="6"/>
      <c r="H5" s="7"/>
      <c r="I5" s="7"/>
    </row>
    <row r="6" customFormat="false" ht="14.25" hidden="false" customHeight="true" outlineLevel="0" collapsed="false">
      <c r="A6" s="8" t="s">
        <v>12</v>
      </c>
      <c r="B6" s="9" t="n">
        <v>298085</v>
      </c>
      <c r="C6" s="9" t="n">
        <v>294866</v>
      </c>
      <c r="D6" s="9" t="n">
        <v>307003</v>
      </c>
      <c r="E6" s="10" t="n">
        <f aca="false">(C6-B6)/B6</f>
        <v>-0.0107989331901974</v>
      </c>
      <c r="F6" s="10" t="n">
        <f aca="false">(D6-C6)/C6</f>
        <v>0.0411610697740669</v>
      </c>
      <c r="G6" s="10" t="n">
        <f aca="false">B6/$B$8</f>
        <v>0.777711102704254</v>
      </c>
      <c r="H6" s="10" t="n">
        <f aca="false">C6/$C$8</f>
        <v>0.754065492858696</v>
      </c>
      <c r="I6" s="10" t="n">
        <f aca="false">D6/$D$8</f>
        <v>0.737702475724539</v>
      </c>
    </row>
    <row r="7" customFormat="false" ht="14.25" hidden="false" customHeight="true" outlineLevel="0" collapsed="false">
      <c r="A7" s="8" t="s">
        <v>13</v>
      </c>
      <c r="B7" s="9" t="n">
        <v>85200</v>
      </c>
      <c r="C7" s="9" t="n">
        <v>96169</v>
      </c>
      <c r="D7" s="9" t="n">
        <v>109158</v>
      </c>
      <c r="E7" s="10" t="n">
        <f aca="false">(C7-B7)/B7</f>
        <v>0.128744131455399</v>
      </c>
      <c r="F7" s="10" t="n">
        <f aca="false">(D7-C7)/C7</f>
        <v>0.135064313864135</v>
      </c>
      <c r="G7" s="10" t="n">
        <f aca="false">B7/$B$8</f>
        <v>0.222288897295746</v>
      </c>
      <c r="H7" s="10" t="n">
        <f aca="false">C7/$C$8</f>
        <v>0.245934507141305</v>
      </c>
      <c r="I7" s="10" t="n">
        <f aca="false">D7/$D$8</f>
        <v>0.262297524275461</v>
      </c>
    </row>
    <row r="8" customFormat="false" ht="14.25" hidden="false" customHeight="true" outlineLevel="0" collapsed="false">
      <c r="A8" s="11" t="s">
        <v>14</v>
      </c>
      <c r="B8" s="12" t="n">
        <f aca="false">SUM(B6:B7)</f>
        <v>383285</v>
      </c>
      <c r="C8" s="12" t="n">
        <f aca="false">SUM(C6:C7)</f>
        <v>391035</v>
      </c>
      <c r="D8" s="12" t="n">
        <f aca="false">SUM(D6:D7)</f>
        <v>416161</v>
      </c>
      <c r="E8" s="13" t="n">
        <f aca="false">(C8-B8)/B8</f>
        <v>0.0202199407751412</v>
      </c>
      <c r="F8" s="13" t="n">
        <f aca="false">(D8-C8)/C8</f>
        <v>0.0642551178283274</v>
      </c>
      <c r="G8" s="10" t="n">
        <f aca="false">B8/$B$8</f>
        <v>1</v>
      </c>
      <c r="H8" s="13" t="n">
        <f aca="false">C8/$C$8</f>
        <v>1</v>
      </c>
      <c r="I8" s="13" t="n">
        <f aca="false">D8/$D$8</f>
        <v>1</v>
      </c>
    </row>
    <row r="9" customFormat="false" ht="14.25" hidden="false" customHeight="true" outlineLevel="0" collapsed="false">
      <c r="A9" s="6" t="s">
        <v>15</v>
      </c>
      <c r="B9" s="6"/>
      <c r="C9" s="6"/>
      <c r="D9" s="6"/>
      <c r="E9" s="7"/>
      <c r="F9" s="7"/>
      <c r="G9" s="7"/>
      <c r="H9" s="7"/>
      <c r="I9" s="7"/>
    </row>
    <row r="10" customFormat="false" ht="14.25" hidden="false" customHeight="true" outlineLevel="0" collapsed="false">
      <c r="A10" s="8" t="s">
        <v>12</v>
      </c>
      <c r="B10" s="9" t="n">
        <v>189282</v>
      </c>
      <c r="C10" s="9" t="n">
        <v>185233</v>
      </c>
      <c r="D10" s="9" t="n">
        <v>194116</v>
      </c>
      <c r="E10" s="10" t="n">
        <f aca="false">(C10-B10)/B10</f>
        <v>-0.0213913631512769</v>
      </c>
      <c r="F10" s="10" t="n">
        <f aca="false">(D10-C10)/C10</f>
        <v>0.047955817807842</v>
      </c>
      <c r="G10" s="10" t="n">
        <f aca="false">B10/$B$8</f>
        <v>0.493841397393584</v>
      </c>
      <c r="H10" s="10" t="n">
        <f aca="false">C10/$C$8</f>
        <v>0.473699285230222</v>
      </c>
      <c r="I10" s="10" t="n">
        <f aca="false">D10/$D$8</f>
        <v>0.466444477017308</v>
      </c>
    </row>
    <row r="11" customFormat="false" ht="14.25" hidden="false" customHeight="true" outlineLevel="0" collapsed="false">
      <c r="A11" s="8" t="s">
        <v>13</v>
      </c>
      <c r="B11" s="9" t="n">
        <v>24855</v>
      </c>
      <c r="C11" s="9" t="n">
        <v>25119</v>
      </c>
      <c r="D11" s="9" t="n">
        <v>26844</v>
      </c>
      <c r="E11" s="10" t="n">
        <f aca="false">(C11-B11)/B11</f>
        <v>0.0106216053108027</v>
      </c>
      <c r="F11" s="10" t="n">
        <f aca="false">(D11-C11)/C11</f>
        <v>0.0686731159679924</v>
      </c>
      <c r="G11" s="10" t="n">
        <f aca="false">B11/$B$8</f>
        <v>0.06484730683434</v>
      </c>
      <c r="H11" s="10" t="n">
        <f aca="false">C11/$C$8</f>
        <v>0.0642372166174383</v>
      </c>
      <c r="I11" s="10" t="n">
        <f aca="false">D11/$D$8</f>
        <v>0.0645038819110873</v>
      </c>
    </row>
    <row r="12" customFormat="false" ht="14.25" hidden="false" customHeight="true" outlineLevel="0" collapsed="false">
      <c r="A12" s="11" t="s">
        <v>16</v>
      </c>
      <c r="B12" s="12" t="n">
        <f aca="false">SUM(B10:B11)</f>
        <v>214137</v>
      </c>
      <c r="C12" s="12" t="n">
        <f aca="false">SUM(C10:C11)</f>
        <v>210352</v>
      </c>
      <c r="D12" s="12" t="n">
        <f aca="false">SUM(D10:D11)</f>
        <v>220960</v>
      </c>
      <c r="E12" s="13" t="n">
        <f aca="false">(C12-B12)/B12</f>
        <v>-0.017675600199872</v>
      </c>
      <c r="F12" s="13" t="n">
        <f aca="false">(D12-C12)/C12</f>
        <v>0.0504297558378337</v>
      </c>
      <c r="G12" s="13" t="n">
        <f aca="false">B12/$B$8</f>
        <v>0.558688704227924</v>
      </c>
      <c r="H12" s="13" t="n">
        <f aca="false">C12/$C$8</f>
        <v>0.537936501847661</v>
      </c>
      <c r="I12" s="13" t="n">
        <f aca="false">D12/$D$8</f>
        <v>0.530948358928396</v>
      </c>
    </row>
    <row r="13" customFormat="false" ht="14.25" hidden="false" customHeight="true" outlineLevel="0" collapsed="false">
      <c r="A13" s="14" t="s">
        <v>17</v>
      </c>
      <c r="B13" s="15" t="n">
        <f aca="false">B8-B12</f>
        <v>169148</v>
      </c>
      <c r="C13" s="15" t="n">
        <f aca="false">C8-C12</f>
        <v>180683</v>
      </c>
      <c r="D13" s="15" t="n">
        <f aca="false">D8-D12</f>
        <v>195201</v>
      </c>
      <c r="E13" s="16" t="n">
        <f aca="false">(C13-B13)/B13</f>
        <v>0.0681947170525221</v>
      </c>
      <c r="F13" s="16" t="n">
        <f aca="false">(D13-C13)/C13</f>
        <v>0.0803506694044265</v>
      </c>
      <c r="G13" s="16" t="n">
        <f aca="false">B13/$B$8</f>
        <v>0.441311295772076</v>
      </c>
      <c r="H13" s="16" t="n">
        <f aca="false">C13/$C$8</f>
        <v>0.462063498152339</v>
      </c>
      <c r="I13" s="16" t="n">
        <f aca="false">D13/$D$8</f>
        <v>0.469051641071605</v>
      </c>
    </row>
    <row r="14" customFormat="false" ht="14.25" hidden="false" customHeight="true" outlineLevel="0" collapsed="false">
      <c r="A14" s="6" t="s">
        <v>18</v>
      </c>
      <c r="B14" s="6"/>
      <c r="C14" s="6"/>
      <c r="D14" s="6"/>
      <c r="E14" s="7"/>
      <c r="F14" s="7"/>
      <c r="G14" s="7"/>
      <c r="H14" s="7"/>
      <c r="I14" s="7"/>
    </row>
    <row r="15" customFormat="false" ht="14.25" hidden="false" customHeight="true" outlineLevel="0" collapsed="false">
      <c r="A15" s="8" t="s">
        <v>19</v>
      </c>
      <c r="B15" s="9" t="n">
        <v>29915</v>
      </c>
      <c r="C15" s="9" t="n">
        <v>31370</v>
      </c>
      <c r="D15" s="9" t="n">
        <v>34550</v>
      </c>
      <c r="E15" s="10" t="n">
        <f aca="false">(C15-B15)/B15</f>
        <v>0.0486378071201738</v>
      </c>
      <c r="F15" s="10" t="n">
        <f aca="false">(D15-C15)/C15</f>
        <v>0.10137073637233</v>
      </c>
      <c r="G15" s="10" t="n">
        <f aca="false">B15/$B$8</f>
        <v>0.0780489713920451</v>
      </c>
      <c r="H15" s="10" t="n">
        <f aca="false">C15/$C$8</f>
        <v>0.0802229979413607</v>
      </c>
      <c r="I15" s="10" t="n">
        <f aca="false">D15/$D$8</f>
        <v>0.0830207539870387</v>
      </c>
    </row>
    <row r="16" customFormat="false" ht="14.25" hidden="false" customHeight="true" outlineLevel="0" collapsed="false">
      <c r="A16" s="8" t="s">
        <v>20</v>
      </c>
      <c r="B16" s="9" t="n">
        <v>24932</v>
      </c>
      <c r="C16" s="9" t="n">
        <v>26097</v>
      </c>
      <c r="D16" s="9" t="n">
        <v>27601</v>
      </c>
      <c r="E16" s="10" t="n">
        <f aca="false">(C16-B16)/B16</f>
        <v>0.0467270977057597</v>
      </c>
      <c r="F16" s="10" t="n">
        <f aca="false">(D16-C16)/C16</f>
        <v>0.0576311453423765</v>
      </c>
      <c r="G16" s="10" t="n">
        <f aca="false">B16/$B$8</f>
        <v>0.0650482017297833</v>
      </c>
      <c r="H16" s="10" t="n">
        <f aca="false">C16/$C$8</f>
        <v>0.0667382715102229</v>
      </c>
      <c r="I16" s="10" t="n">
        <f aca="false">D16/$D$8</f>
        <v>0.066322889458647</v>
      </c>
    </row>
    <row r="17" customFormat="false" ht="14.25" hidden="false" customHeight="true" outlineLevel="0" collapsed="false">
      <c r="A17" s="11" t="s">
        <v>21</v>
      </c>
      <c r="B17" s="12" t="n">
        <f aca="false">SUM(B15:B16)</f>
        <v>54847</v>
      </c>
      <c r="C17" s="12" t="n">
        <f aca="false">SUM(C15:C16)</f>
        <v>57467</v>
      </c>
      <c r="D17" s="12" t="n">
        <f aca="false">SUM(D15:D16)</f>
        <v>62151</v>
      </c>
      <c r="E17" s="13" t="n">
        <f aca="false">(C17-B17)/B17</f>
        <v>0.0477692490017686</v>
      </c>
      <c r="F17" s="13" t="n">
        <f aca="false">(D17-C17)/C17</f>
        <v>0.0815076478674718</v>
      </c>
      <c r="G17" s="13" t="n">
        <f aca="false">B17/$B$8</f>
        <v>0.143097173121828</v>
      </c>
      <c r="H17" s="13" t="n">
        <f aca="false">C17/$C$8</f>
        <v>0.146961269451584</v>
      </c>
      <c r="I17" s="13" t="n">
        <f aca="false">D17/$D$8</f>
        <v>0.149343643445686</v>
      </c>
    </row>
    <row r="18" customFormat="false" ht="14.25" hidden="false" customHeight="true" outlineLevel="0" collapsed="false">
      <c r="A18" s="14" t="s">
        <v>22</v>
      </c>
      <c r="B18" s="15" t="n">
        <f aca="false">B13-B17</f>
        <v>114301</v>
      </c>
      <c r="C18" s="15" t="n">
        <f aca="false">C13-C17</f>
        <v>123216</v>
      </c>
      <c r="D18" s="15" t="n">
        <f aca="false">D13-D17</f>
        <v>133050</v>
      </c>
      <c r="E18" s="16" t="n">
        <f aca="false">(C18-B18)/B18</f>
        <v>0.0779958180593346</v>
      </c>
      <c r="F18" s="16" t="n">
        <f aca="false">(D18-C18)/C18</f>
        <v>0.079811063498247</v>
      </c>
      <c r="G18" s="16" t="n">
        <f aca="false">B18/$B$8</f>
        <v>0.298214122650247</v>
      </c>
      <c r="H18" s="16" t="n">
        <f aca="false">C18/$C$8</f>
        <v>0.315102228700756</v>
      </c>
      <c r="I18" s="16" t="n">
        <f aca="false">D18/$D$8</f>
        <v>0.319707997625919</v>
      </c>
    </row>
    <row r="19" customFormat="false" ht="14.25" hidden="false" customHeight="true" outlineLevel="0" collapsed="false">
      <c r="A19" s="8" t="s">
        <v>23</v>
      </c>
      <c r="B19" s="9" t="n">
        <v>-565</v>
      </c>
      <c r="C19" s="9" t="n">
        <v>269</v>
      </c>
      <c r="D19" s="9" t="n">
        <v>-321</v>
      </c>
      <c r="E19" s="10" t="n">
        <f aca="false">(C19-B19)/B19</f>
        <v>-1.47610619469027</v>
      </c>
      <c r="F19" s="10" t="n">
        <f aca="false">(D19-C19)/C19</f>
        <v>-2.19330855018587</v>
      </c>
      <c r="G19" s="10" t="n">
        <f aca="false">B19/$B$8</f>
        <v>-0.0014740989081232</v>
      </c>
      <c r="H19" s="10" t="n">
        <f aca="false">C19/$C$8</f>
        <v>0.000687917961307811</v>
      </c>
      <c r="I19" s="10" t="n">
        <f aca="false">D19/$D$8</f>
        <v>-0.000771336093483051</v>
      </c>
    </row>
    <row r="20" customFormat="false" ht="14.25" hidden="false" customHeight="true" outlineLevel="0" collapsed="false">
      <c r="A20" s="11" t="s">
        <v>24</v>
      </c>
      <c r="B20" s="12" t="n">
        <f aca="false">B18+B19</f>
        <v>113736</v>
      </c>
      <c r="C20" s="12" t="n">
        <f aca="false">C18+C19</f>
        <v>123485</v>
      </c>
      <c r="D20" s="12" t="n">
        <f aca="false">D18+D19</f>
        <v>132729</v>
      </c>
      <c r="E20" s="13" t="n">
        <f aca="false">(C20-B20)/B20</f>
        <v>0.0857160441724696</v>
      </c>
      <c r="F20" s="13" t="n">
        <f aca="false">(D20-C20)/C20</f>
        <v>0.0748592946511722</v>
      </c>
      <c r="G20" s="13" t="n">
        <f aca="false">B20/$B$8</f>
        <v>0.296740023742124</v>
      </c>
      <c r="H20" s="13" t="n">
        <f aca="false">C20/$C$8</f>
        <v>0.315790146662064</v>
      </c>
      <c r="I20" s="13" t="n">
        <f aca="false">D20/$D$8</f>
        <v>0.318936661532436</v>
      </c>
    </row>
    <row r="21" customFormat="false" ht="14.25" hidden="false" customHeight="true" outlineLevel="0" collapsed="false">
      <c r="A21" s="8" t="s">
        <v>25</v>
      </c>
      <c r="B21" s="9" t="n">
        <v>16741</v>
      </c>
      <c r="C21" s="9" t="n">
        <v>29749</v>
      </c>
      <c r="D21" s="9" t="n">
        <v>20719</v>
      </c>
      <c r="E21" s="10" t="n">
        <f aca="false">(C21-B21)/B21</f>
        <v>0.777014515261932</v>
      </c>
      <c r="F21" s="10" t="n">
        <f aca="false">(D21-C21)/C21</f>
        <v>-0.303539614776967</v>
      </c>
      <c r="G21" s="10" t="n">
        <f aca="false">B21/$B$8</f>
        <v>0.0436776810989212</v>
      </c>
      <c r="H21" s="10" t="n">
        <f aca="false">C21/$C$8</f>
        <v>0.0760775889626248</v>
      </c>
      <c r="I21" s="10" t="n">
        <f aca="false">D21/$D$8</f>
        <v>0.0497860203142534</v>
      </c>
    </row>
    <row r="22" customFormat="false" ht="14.25" hidden="false" customHeight="true" outlineLevel="0" collapsed="false">
      <c r="A22" s="14" t="s">
        <v>26</v>
      </c>
      <c r="B22" s="15" t="n">
        <f aca="false">B20-B21</f>
        <v>96995</v>
      </c>
      <c r="C22" s="15" t="n">
        <f aca="false">C20-C21</f>
        <v>93736</v>
      </c>
      <c r="D22" s="15" t="n">
        <f aca="false">D20-D21</f>
        <v>112010</v>
      </c>
      <c r="E22" s="16" t="n">
        <f aca="false">(C22-B22)/B22</f>
        <v>-0.0335996700860869</v>
      </c>
      <c r="F22" s="16" t="n">
        <f aca="false">(D22-C22)/C22</f>
        <v>0.194951779465734</v>
      </c>
      <c r="G22" s="16" t="n">
        <f aca="false">B22/$B$8</f>
        <v>0.253062342643203</v>
      </c>
      <c r="H22" s="16" t="n">
        <f aca="false">C22/$C$8</f>
        <v>0.239712557699439</v>
      </c>
      <c r="I22" s="16" t="n">
        <f aca="false">D22/$D$8</f>
        <v>0.269150641218182</v>
      </c>
    </row>
    <row r="23" customFormat="false" ht="14.25" hidden="false" customHeight="true" outlineLevel="0" collapsed="false">
      <c r="E23" s="17"/>
      <c r="F23" s="17"/>
      <c r="G23" s="17"/>
      <c r="H23" s="17"/>
      <c r="I23" s="17"/>
    </row>
    <row r="24" customFormat="false" ht="14.25" hidden="false" customHeight="true" outlineLevel="0" collapsed="false">
      <c r="A24" s="8" t="s">
        <v>27</v>
      </c>
      <c r="B24" s="18" t="n">
        <v>6.16</v>
      </c>
      <c r="C24" s="18" t="n">
        <v>6.11</v>
      </c>
      <c r="D24" s="18" t="n">
        <v>7.49</v>
      </c>
      <c r="E24" s="10" t="n">
        <f aca="false">(C24-B24)/B24</f>
        <v>-0.00811688311688309</v>
      </c>
      <c r="F24" s="10" t="n">
        <f aca="false">(D24-C24)/C24</f>
        <v>0.225859247135843</v>
      </c>
      <c r="G24" s="10" t="n">
        <f aca="false">B24/$B$8</f>
        <v>1.60715916354671E-005</v>
      </c>
      <c r="H24" s="10" t="n">
        <f aca="false">C24/$C$8</f>
        <v>1.56251997903001E-005</v>
      </c>
      <c r="I24" s="10" t="n">
        <f aca="false">D24/$D$8</f>
        <v>1.79978421812712E-005</v>
      </c>
    </row>
    <row r="25" customFormat="false" ht="14.25" hidden="false" customHeight="true" outlineLevel="0" collapsed="false">
      <c r="A25" s="8" t="s">
        <v>28</v>
      </c>
      <c r="B25" s="18" t="n">
        <v>6.13</v>
      </c>
      <c r="C25" s="18" t="n">
        <v>6.08</v>
      </c>
      <c r="D25" s="18" t="n">
        <v>7.46</v>
      </c>
      <c r="E25" s="10" t="n">
        <f aca="false">(C25-B25)/B25</f>
        <v>-0.00815660685154973</v>
      </c>
      <c r="F25" s="10" t="n">
        <f aca="false">(D25-C25)/C25</f>
        <v>0.226973684210526</v>
      </c>
      <c r="G25" s="10" t="n">
        <f aca="false">B25/$B$8</f>
        <v>1.59933208969827E-005</v>
      </c>
      <c r="H25" s="10" t="n">
        <f aca="false">C25/$C$8</f>
        <v>1.55484803150613E-005</v>
      </c>
      <c r="I25" s="10" t="n">
        <f aca="false">D25/$D$8</f>
        <v>1.79257546958989E-005</v>
      </c>
    </row>
    <row r="27" customFormat="false" ht="14.25" hidden="false" customHeight="true" outlineLevel="0" collapsed="false">
      <c r="A27" s="19" t="s">
        <v>29</v>
      </c>
      <c r="B27" s="19"/>
      <c r="C27" s="19"/>
      <c r="D27" s="19"/>
    </row>
  </sheetData>
  <mergeCells count="1"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8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A16" activeCellId="0" sqref="A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9.89"/>
    <col collapsed="false" customWidth="true" hidden="false" outlineLevel="0" max="3" min="2" style="1" width="15"/>
    <col collapsed="false" customWidth="true" hidden="false" outlineLevel="0" max="4" min="4" style="1" width="9.88"/>
    <col collapsed="false" customWidth="true" hidden="false" outlineLevel="0" max="6" min="5" style="1" width="16.77"/>
    <col collapsed="false" customWidth="true" hidden="false" outlineLevel="0" max="9" min="7" style="1" width="15.66"/>
  </cols>
  <sheetData>
    <row r="1" customFormat="false" ht="15.75" hidden="false" customHeight="true" outlineLevel="0" collapsed="false">
      <c r="A1" s="2" t="s">
        <v>30</v>
      </c>
    </row>
    <row r="2" customFormat="false" ht="14.25" hidden="false" customHeight="true" outlineLevel="0" collapsed="false">
      <c r="A2" s="3" t="s">
        <v>31</v>
      </c>
    </row>
    <row r="4" customFormat="false" ht="14.25" hidden="false" customHeight="true" outlineLevel="0" collapsed="false">
      <c r="A4" s="4" t="s">
        <v>32</v>
      </c>
      <c r="B4" s="4" t="s">
        <v>33</v>
      </c>
      <c r="C4" s="4" t="s">
        <v>34</v>
      </c>
      <c r="D4" s="4" t="s">
        <v>35</v>
      </c>
      <c r="E4" s="5" t="s">
        <v>6</v>
      </c>
      <c r="F4" s="5" t="s">
        <v>7</v>
      </c>
      <c r="G4" s="5" t="s">
        <v>36</v>
      </c>
      <c r="H4" s="5" t="s">
        <v>37</v>
      </c>
      <c r="I4" s="5" t="s">
        <v>38</v>
      </c>
    </row>
    <row r="5" customFormat="false" ht="14.25" hidden="false" customHeight="true" outlineLevel="0" collapsed="false">
      <c r="A5" s="6" t="s">
        <v>39</v>
      </c>
      <c r="B5" s="6"/>
      <c r="C5" s="6"/>
      <c r="D5" s="6"/>
      <c r="E5" s="6"/>
      <c r="F5" s="6"/>
      <c r="G5" s="6"/>
      <c r="H5" s="7"/>
      <c r="I5" s="7"/>
    </row>
    <row r="6" customFormat="false" ht="14.25" hidden="false" customHeight="true" outlineLevel="0" collapsed="false">
      <c r="A6" s="6" t="s">
        <v>40</v>
      </c>
      <c r="B6" s="6"/>
      <c r="C6" s="6"/>
      <c r="D6" s="6"/>
      <c r="E6" s="6"/>
      <c r="F6" s="6"/>
      <c r="G6" s="6"/>
      <c r="H6" s="7"/>
      <c r="I6" s="7"/>
    </row>
    <row r="7" customFormat="false" ht="14.25" hidden="false" customHeight="true" outlineLevel="0" collapsed="false">
      <c r="A7" s="20" t="s">
        <v>41</v>
      </c>
      <c r="B7" s="9" t="n">
        <v>29965</v>
      </c>
      <c r="C7" s="9" t="n">
        <v>29943</v>
      </c>
      <c r="D7" s="9" t="n">
        <v>35934</v>
      </c>
      <c r="E7" s="21" t="n">
        <f aca="false">(C7-B7)/B7</f>
        <v>-0.000734189888202903</v>
      </c>
      <c r="F7" s="21" t="n">
        <f aca="false">(D7-C7)/C7</f>
        <v>0.20008015228935</v>
      </c>
      <c r="G7" s="21" t="n">
        <f aca="false">B7/$B$19</f>
        <v>0.0849870810560918</v>
      </c>
      <c r="H7" s="21" t="n">
        <f aca="false">C7/$C$19</f>
        <v>0.0820401117869472</v>
      </c>
      <c r="I7" s="21" t="n">
        <f aca="false">D7/$D$19</f>
        <v>0.100027558101664</v>
      </c>
    </row>
    <row r="8" customFormat="false" ht="14.25" hidden="false" customHeight="true" outlineLevel="0" collapsed="false">
      <c r="A8" s="20" t="s">
        <v>42</v>
      </c>
      <c r="B8" s="9" t="n">
        <v>31590</v>
      </c>
      <c r="C8" s="9" t="n">
        <v>35228</v>
      </c>
      <c r="D8" s="9" t="n">
        <v>18763</v>
      </c>
      <c r="E8" s="21" t="n">
        <f aca="false">(C8-B8)/B8</f>
        <v>0.115163026274137</v>
      </c>
      <c r="F8" s="21" t="n">
        <f aca="false">(D8-C8)/C8</f>
        <v>-0.467383899171114</v>
      </c>
      <c r="G8" s="21" t="n">
        <f aca="false">B8/$B$19</f>
        <v>0.089595924931151</v>
      </c>
      <c r="H8" s="21" t="n">
        <f aca="false">C8/$C$19</f>
        <v>0.096520357279851</v>
      </c>
      <c r="I8" s="21" t="n">
        <f aca="false">D8/$D$19</f>
        <v>0.0522295617705106</v>
      </c>
    </row>
    <row r="9" customFormat="false" ht="14.25" hidden="false" customHeight="true" outlineLevel="0" collapsed="false">
      <c r="A9" s="20" t="s">
        <v>43</v>
      </c>
      <c r="B9" s="9" t="n">
        <v>29508</v>
      </c>
      <c r="C9" s="9" t="n">
        <v>33410</v>
      </c>
      <c r="D9" s="9" t="n">
        <v>39777</v>
      </c>
      <c r="E9" s="21" t="n">
        <f aca="false">(C9-B9)/B9</f>
        <v>0.132235326013285</v>
      </c>
      <c r="F9" s="21" t="n">
        <f aca="false">(D9-C9)/C9</f>
        <v>0.190571685124214</v>
      </c>
      <c r="G9" s="21" t="n">
        <f aca="false">B9/$B$19</f>
        <v>0.0836909323478443</v>
      </c>
      <c r="H9" s="21" t="n">
        <f aca="false">C9/$C$19</f>
        <v>0.0915392624253384</v>
      </c>
      <c r="I9" s="21" t="n">
        <f aca="false">D9/$D$19</f>
        <v>0.110725112111368</v>
      </c>
    </row>
    <row r="10" customFormat="false" ht="14.25" hidden="false" customHeight="true" outlineLevel="0" collapsed="false">
      <c r="A10" s="20" t="s">
        <v>44</v>
      </c>
      <c r="B10" s="9" t="n">
        <v>31477</v>
      </c>
      <c r="C10" s="9" t="n">
        <v>32833</v>
      </c>
      <c r="D10" s="9" t="n">
        <v>33180</v>
      </c>
      <c r="E10" s="21" t="n">
        <f aca="false">(C10-B10)/B10</f>
        <v>0.043079073609302</v>
      </c>
      <c r="F10" s="21" t="n">
        <f aca="false">(D10-C10)/C10</f>
        <v>0.0105686352145707</v>
      </c>
      <c r="G10" s="21" t="n">
        <f aca="false">B10/$B$19</f>
        <v>0.0892754330186084</v>
      </c>
      <c r="H10" s="21" t="n">
        <f aca="false">C10/$C$19</f>
        <v>0.0899583538824045</v>
      </c>
      <c r="I10" s="21" t="n">
        <f aca="false">D10/$D$19</f>
        <v>0.0923613952750382</v>
      </c>
    </row>
    <row r="11" customFormat="false" ht="14.25" hidden="false" customHeight="true" outlineLevel="0" collapsed="false">
      <c r="A11" s="20" t="s">
        <v>45</v>
      </c>
      <c r="B11" s="9" t="n">
        <v>6331</v>
      </c>
      <c r="C11" s="9" t="n">
        <v>7286</v>
      </c>
      <c r="D11" s="9" t="n">
        <v>5718</v>
      </c>
      <c r="E11" s="21" t="n">
        <f aca="false">(C11-B11)/B11</f>
        <v>0.150845048175644</v>
      </c>
      <c r="F11" s="21" t="n">
        <f aca="false">(D11-C11)/C11</f>
        <v>-0.215207246774636</v>
      </c>
      <c r="G11" s="21" t="n">
        <f aca="false">B11/$B$19</f>
        <v>0.0179560557372307</v>
      </c>
      <c r="H11" s="21" t="n">
        <f aca="false">C11/$C$19</f>
        <v>0.0199627376842567</v>
      </c>
      <c r="I11" s="21" t="n">
        <f aca="false">D11/$D$19</f>
        <v>0.0159168914461323</v>
      </c>
    </row>
    <row r="12" customFormat="false" ht="14.25" hidden="false" customHeight="true" outlineLevel="0" collapsed="false">
      <c r="A12" s="20" t="s">
        <v>46</v>
      </c>
      <c r="B12" s="9" t="n">
        <v>14695</v>
      </c>
      <c r="C12" s="9" t="n">
        <v>14287</v>
      </c>
      <c r="D12" s="9" t="n">
        <v>14585</v>
      </c>
      <c r="E12" s="21" t="n">
        <f aca="false">(C12-B12)/B12</f>
        <v>-0.0277645457638653</v>
      </c>
      <c r="F12" s="21" t="n">
        <f aca="false">(D12-C12)/C12</f>
        <v>0.0208581227689508</v>
      </c>
      <c r="G12" s="21" t="n">
        <f aca="false">B12/$B$19</f>
        <v>0.0416781296886123</v>
      </c>
      <c r="H12" s="21" t="n">
        <f aca="false">C12/$C$19</f>
        <v>0.039144610663598</v>
      </c>
      <c r="I12" s="21" t="n">
        <f aca="false">D12/$D$19</f>
        <v>0.0405994861388316</v>
      </c>
    </row>
    <row r="13" customFormat="false" ht="14.25" hidden="false" customHeight="true" outlineLevel="0" collapsed="false">
      <c r="A13" s="11" t="s">
        <v>47</v>
      </c>
      <c r="B13" s="12" t="n">
        <f aca="false">SUM(B7:B12)</f>
        <v>143566</v>
      </c>
      <c r="C13" s="12" t="n">
        <f aca="false">SUM(C7:C12)</f>
        <v>152987</v>
      </c>
      <c r="D13" s="12" t="n">
        <f aca="false">SUM(D7:D12)</f>
        <v>147957</v>
      </c>
      <c r="E13" s="13" t="n">
        <f aca="false">(C13-B13)/B13</f>
        <v>0.0656213866792973</v>
      </c>
      <c r="F13" s="13" t="n">
        <f aca="false">(D13-C13)/C13</f>
        <v>-0.0328786106009007</v>
      </c>
      <c r="G13" s="13" t="n">
        <f aca="false">B13/$B$19</f>
        <v>0.407183556779538</v>
      </c>
      <c r="H13" s="13" t="n">
        <f aca="false">C13/$C$19</f>
        <v>0.419165433722396</v>
      </c>
      <c r="I13" s="13" t="n">
        <f aca="false">D13/$D$19</f>
        <v>0.411860004843545</v>
      </c>
    </row>
    <row r="14" customFormat="false" ht="14.25" hidden="false" customHeight="true" outlineLevel="0" collapsed="false">
      <c r="A14" s="6" t="s">
        <v>48</v>
      </c>
      <c r="B14" s="6"/>
      <c r="C14" s="6"/>
      <c r="D14" s="6"/>
      <c r="E14" s="7"/>
      <c r="F14" s="7"/>
      <c r="G14" s="7"/>
      <c r="H14" s="7"/>
      <c r="I14" s="7"/>
    </row>
    <row r="15" customFormat="false" ht="14.25" hidden="false" customHeight="true" outlineLevel="0" collapsed="false">
      <c r="A15" s="20" t="s">
        <v>49</v>
      </c>
      <c r="B15" s="9" t="n">
        <v>100544</v>
      </c>
      <c r="C15" s="9" t="n">
        <v>91479</v>
      </c>
      <c r="D15" s="9" t="n">
        <v>77723</v>
      </c>
      <c r="E15" s="21" t="n">
        <f aca="false">(C15-B15)/B15</f>
        <v>-0.0901595321451305</v>
      </c>
      <c r="F15" s="21" t="n">
        <f aca="false">(D15-C15)/C15</f>
        <v>-0.150373309721357</v>
      </c>
      <c r="G15" s="21" t="n">
        <f aca="false">B15/$B$19</f>
        <v>0.285164060660894</v>
      </c>
      <c r="H15" s="21" t="n">
        <f aca="false">C15/$C$19</f>
        <v>0.250641131020878</v>
      </c>
      <c r="I15" s="21" t="n">
        <f aca="false">D15/$D$19</f>
        <v>0.216353367238149</v>
      </c>
    </row>
    <row r="16" customFormat="false" ht="14.25" hidden="false" customHeight="true" outlineLevel="0" collapsed="false">
      <c r="A16" s="20" t="s">
        <v>50</v>
      </c>
      <c r="B16" s="9" t="n">
        <v>43715</v>
      </c>
      <c r="C16" s="9" t="n">
        <v>45680</v>
      </c>
      <c r="D16" s="9" t="n">
        <v>49834</v>
      </c>
      <c r="E16" s="21" t="n">
        <f aca="false">(C16-B16)/B16</f>
        <v>0.0449502459110145</v>
      </c>
      <c r="F16" s="21" t="n">
        <f aca="false">(D16-C16)/C16</f>
        <v>0.0909369527145359</v>
      </c>
      <c r="G16" s="21" t="n">
        <f aca="false">B16/$B$19</f>
        <v>0.123984990768131</v>
      </c>
      <c r="H16" s="21" t="n">
        <f aca="false">C16/$C$19</f>
        <v>0.125157542879062</v>
      </c>
      <c r="I16" s="21" t="n">
        <f aca="false">D16/$D$19</f>
        <v>0.138720246297054</v>
      </c>
    </row>
    <row r="17" customFormat="false" ht="14.25" hidden="false" customHeight="true" outlineLevel="0" collapsed="false">
      <c r="A17" s="20" t="s">
        <v>51</v>
      </c>
      <c r="B17" s="9" t="n">
        <v>64758</v>
      </c>
      <c r="C17" s="9" t="n">
        <v>74834</v>
      </c>
      <c r="D17" s="9" t="n">
        <v>83727</v>
      </c>
      <c r="E17" s="21" t="n">
        <f aca="false">(C17-B17)/B17</f>
        <v>0.155594675561321</v>
      </c>
      <c r="F17" s="21" t="n">
        <f aca="false">(D17-C17)/C17</f>
        <v>0.118836357805276</v>
      </c>
      <c r="G17" s="21" t="n">
        <f aca="false">B17/$B$19</f>
        <v>0.183667391791436</v>
      </c>
      <c r="H17" s="21" t="n">
        <f aca="false">C17/$C$19</f>
        <v>0.205035892377665</v>
      </c>
      <c r="I17" s="21" t="n">
        <f aca="false">D17/$D$19</f>
        <v>0.233066381621251</v>
      </c>
    </row>
    <row r="18" customFormat="false" ht="14.25" hidden="false" customHeight="true" outlineLevel="0" collapsed="false">
      <c r="A18" s="11" t="s">
        <v>52</v>
      </c>
      <c r="B18" s="12" t="n">
        <f aca="false">SUM(B15:B17)</f>
        <v>209017</v>
      </c>
      <c r="C18" s="12" t="n">
        <f aca="false">SUM(C15:C17)</f>
        <v>211993</v>
      </c>
      <c r="D18" s="12" t="n">
        <f aca="false">SUM(D15:D17)</f>
        <v>211284</v>
      </c>
      <c r="E18" s="13" t="n">
        <f aca="false">(C18-B18)/B18</f>
        <v>0.0142380763287197</v>
      </c>
      <c r="F18" s="13" t="n">
        <f aca="false">(D18-C18)/C18</f>
        <v>-0.00334445005259608</v>
      </c>
      <c r="G18" s="13" t="n">
        <f aca="false">B18/$B$19</f>
        <v>0.592816443220462</v>
      </c>
      <c r="H18" s="13" t="n">
        <f aca="false">C18/$C$19</f>
        <v>0.580834566277604</v>
      </c>
      <c r="I18" s="13" t="n">
        <f aca="false">D18/$D$19</f>
        <v>0.588139995156455</v>
      </c>
    </row>
    <row r="19" customFormat="false" ht="14.25" hidden="false" customHeight="true" outlineLevel="0" collapsed="false">
      <c r="A19" s="14" t="s">
        <v>53</v>
      </c>
      <c r="B19" s="15" t="n">
        <f aca="false">B13+B18</f>
        <v>352583</v>
      </c>
      <c r="C19" s="15" t="n">
        <f aca="false">C13+C18</f>
        <v>364980</v>
      </c>
      <c r="D19" s="15" t="n">
        <f aca="false">D13+D18</f>
        <v>359241</v>
      </c>
      <c r="E19" s="16" t="n">
        <f aca="false">(C19-B19)/B19</f>
        <v>0.0351605153963748</v>
      </c>
      <c r="F19" s="16" t="n">
        <f aca="false">(D19-C19)/C19</f>
        <v>-0.0157241492684531</v>
      </c>
      <c r="G19" s="16" t="n">
        <f aca="false">B19/$B$19</f>
        <v>1</v>
      </c>
      <c r="H19" s="16" t="n">
        <f aca="false">C19/$C$19</f>
        <v>1</v>
      </c>
      <c r="I19" s="16" t="n">
        <f aca="false">D19/$D$19</f>
        <v>1</v>
      </c>
    </row>
    <row r="20" customFormat="false" ht="14.25" hidden="false" customHeight="true" outlineLevel="0" collapsed="false">
      <c r="E20" s="17"/>
      <c r="F20" s="17"/>
      <c r="G20" s="17"/>
      <c r="H20" s="17"/>
      <c r="I20" s="17"/>
    </row>
    <row r="21" customFormat="false" ht="14.25" hidden="false" customHeight="true" outlineLevel="0" collapsed="false">
      <c r="A21" s="6" t="s">
        <v>54</v>
      </c>
      <c r="B21" s="6"/>
      <c r="C21" s="6"/>
      <c r="D21" s="6"/>
      <c r="E21" s="7"/>
      <c r="F21" s="7"/>
      <c r="G21" s="7"/>
      <c r="H21" s="7"/>
      <c r="I21" s="7"/>
    </row>
    <row r="22" customFormat="false" ht="14.25" hidden="false" customHeight="true" outlineLevel="0" collapsed="false">
      <c r="A22" s="6" t="s">
        <v>55</v>
      </c>
      <c r="B22" s="6"/>
      <c r="C22" s="6"/>
      <c r="D22" s="6"/>
      <c r="E22" s="7"/>
      <c r="F22" s="7"/>
      <c r="G22" s="7"/>
      <c r="H22" s="7"/>
      <c r="I22" s="7"/>
    </row>
    <row r="23" customFormat="false" ht="14.25" hidden="false" customHeight="true" outlineLevel="0" collapsed="false">
      <c r="A23" s="20" t="s">
        <v>56</v>
      </c>
      <c r="B23" s="9" t="n">
        <v>62611</v>
      </c>
      <c r="C23" s="9" t="n">
        <v>68960</v>
      </c>
      <c r="D23" s="9" t="n">
        <v>69860</v>
      </c>
      <c r="E23" s="21" t="n">
        <f aca="false">(C23-B23)/B23</f>
        <v>0.101403906661769</v>
      </c>
      <c r="F23" s="21" t="n">
        <f aca="false">(D23-C23)/C23</f>
        <v>0.0130510440835267</v>
      </c>
      <c r="G23" s="21" t="n">
        <f aca="false">B23/$B$19</f>
        <v>0.177578045453127</v>
      </c>
      <c r="H23" s="21" t="n">
        <f aca="false">C23/$C$19</f>
        <v>0.188941859827936</v>
      </c>
      <c r="I23" s="21" t="n">
        <f aca="false">D23/$D$19</f>
        <v>0.194465553764743</v>
      </c>
    </row>
    <row r="24" customFormat="false" ht="14.25" hidden="false" customHeight="true" outlineLevel="0" collapsed="false">
      <c r="A24" s="20" t="s">
        <v>57</v>
      </c>
      <c r="B24" s="9" t="n">
        <v>58829</v>
      </c>
      <c r="C24" s="9" t="n">
        <v>78304</v>
      </c>
      <c r="D24" s="9" t="n">
        <v>66387</v>
      </c>
      <c r="E24" s="21" t="n">
        <f aca="false">(C24-B24)/B24</f>
        <v>0.331044212888201</v>
      </c>
      <c r="F24" s="21" t="n">
        <f aca="false">(D24-C24)/C24</f>
        <v>-0.152188904781365</v>
      </c>
      <c r="G24" s="21" t="n">
        <f aca="false">B24/$B$19</f>
        <v>0.166851493123605</v>
      </c>
      <c r="H24" s="21" t="n">
        <f aca="false">C24/$C$19</f>
        <v>0.214543262644528</v>
      </c>
      <c r="I24" s="21" t="n">
        <f aca="false">D24/$D$19</f>
        <v>0.184797949009161</v>
      </c>
    </row>
    <row r="25" customFormat="false" ht="14.25" hidden="false" customHeight="true" outlineLevel="0" collapsed="false">
      <c r="A25" s="20" t="s">
        <v>58</v>
      </c>
      <c r="B25" s="9" t="n">
        <v>8061</v>
      </c>
      <c r="C25" s="9" t="n">
        <v>8249</v>
      </c>
      <c r="D25" s="9" t="n">
        <v>9055</v>
      </c>
      <c r="E25" s="21" t="n">
        <f aca="false">(C25-B25)/B25</f>
        <v>0.0233221684654509</v>
      </c>
      <c r="F25" s="21" t="n">
        <f aca="false">(D25-C25)/C25</f>
        <v>0.0977088131894775</v>
      </c>
      <c r="G25" s="21" t="n">
        <f aca="false">B25/$B$19</f>
        <v>0.0228627018319091</v>
      </c>
      <c r="H25" s="21" t="n">
        <f aca="false">C25/$C$19</f>
        <v>0.0226012384240232</v>
      </c>
      <c r="I25" s="21" t="n">
        <f aca="false">D25/$D$19</f>
        <v>0.0252059202596586</v>
      </c>
    </row>
    <row r="26" customFormat="false" ht="14.25" hidden="false" customHeight="true" outlineLevel="0" collapsed="false">
      <c r="A26" s="20" t="s">
        <v>59</v>
      </c>
      <c r="B26" s="9" t="n">
        <v>5985</v>
      </c>
      <c r="C26" s="9" t="n">
        <v>9967</v>
      </c>
      <c r="D26" s="9" t="n">
        <v>7979</v>
      </c>
      <c r="E26" s="21" t="n">
        <f aca="false">(C26-B26)/B26</f>
        <v>0.665329991645781</v>
      </c>
      <c r="F26" s="21" t="n">
        <f aca="false">(D26-C26)/C26</f>
        <v>-0.19945821209993</v>
      </c>
      <c r="G26" s="21" t="n">
        <f aca="false">B26/$B$19</f>
        <v>0.016974726518295</v>
      </c>
      <c r="H26" s="21" t="n">
        <f aca="false">C26/$C$19</f>
        <v>0.027308345662776</v>
      </c>
      <c r="I26" s="21" t="n">
        <f aca="false">D26/$D$19</f>
        <v>0.0222107164828068</v>
      </c>
    </row>
    <row r="27" customFormat="false" ht="14.25" hidden="false" customHeight="true" outlineLevel="0" collapsed="false">
      <c r="A27" s="20" t="s">
        <v>60</v>
      </c>
      <c r="B27" s="9" t="n">
        <v>9822</v>
      </c>
      <c r="C27" s="9" t="n">
        <v>10912</v>
      </c>
      <c r="D27" s="9" t="n">
        <v>12350</v>
      </c>
      <c r="E27" s="21" t="n">
        <f aca="false">(C27-B27)/B27</f>
        <v>0.110975361433517</v>
      </c>
      <c r="F27" s="21" t="n">
        <f aca="false">(D27-C27)/C27</f>
        <v>0.131781524926686</v>
      </c>
      <c r="G27" s="21" t="n">
        <f aca="false">B27/$B$19</f>
        <v>0.0278572704866656</v>
      </c>
      <c r="H27" s="21" t="n">
        <f aca="false">C27/$C$19</f>
        <v>0.0298975286317058</v>
      </c>
      <c r="I27" s="21" t="n">
        <f aca="false">D27/$D$19</f>
        <v>0.0343780359146089</v>
      </c>
    </row>
    <row r="28" customFormat="false" ht="14.25" hidden="false" customHeight="true" outlineLevel="0" collapsed="false">
      <c r="A28" s="11" t="s">
        <v>61</v>
      </c>
      <c r="B28" s="12" t="n">
        <f aca="false">SUM(B23:B27)</f>
        <v>145308</v>
      </c>
      <c r="C28" s="12" t="n">
        <f aca="false">SUM(C23:C27)</f>
        <v>176392</v>
      </c>
      <c r="D28" s="12" t="n">
        <f aca="false">SUM(D23:D27)</f>
        <v>165631</v>
      </c>
      <c r="E28" s="13" t="n">
        <f aca="false">(C28-B28)/B28</f>
        <v>0.213918022407576</v>
      </c>
      <c r="F28" s="13" t="n">
        <f aca="false">(D28-C28)/C28</f>
        <v>-0.061006168080185</v>
      </c>
      <c r="G28" s="13" t="n">
        <f aca="false">B28/$B$19</f>
        <v>0.412124237413602</v>
      </c>
      <c r="H28" s="13" t="n">
        <f aca="false">C28/$C$19</f>
        <v>0.483292235190969</v>
      </c>
      <c r="I28" s="13" t="n">
        <f aca="false">D28/$D$19</f>
        <v>0.461058175430978</v>
      </c>
    </row>
    <row r="29" customFormat="false" ht="14.25" hidden="false" customHeight="true" outlineLevel="0" collapsed="false">
      <c r="A29" s="6" t="s">
        <v>62</v>
      </c>
      <c r="B29" s="6"/>
      <c r="C29" s="6"/>
      <c r="D29" s="6"/>
      <c r="E29" s="7"/>
      <c r="F29" s="7"/>
      <c r="G29" s="7"/>
      <c r="H29" s="7"/>
      <c r="I29" s="7"/>
    </row>
    <row r="30" customFormat="false" ht="14.25" hidden="false" customHeight="true" outlineLevel="0" collapsed="false">
      <c r="A30" s="20" t="s">
        <v>63</v>
      </c>
      <c r="B30" s="9" t="n">
        <v>95281</v>
      </c>
      <c r="C30" s="9" t="n">
        <v>85750</v>
      </c>
      <c r="D30" s="9" t="n">
        <v>78328</v>
      </c>
      <c r="E30" s="21" t="n">
        <f aca="false">(C30-B30)/B30</f>
        <v>-0.100030436288452</v>
      </c>
      <c r="F30" s="21" t="n">
        <f aca="false">(D30-C30)/C30</f>
        <v>-0.0865539358600583</v>
      </c>
      <c r="G30" s="21" t="n">
        <f aca="false">B30/$B$19</f>
        <v>0.270237078928933</v>
      </c>
      <c r="H30" s="21" t="n">
        <f aca="false">C30/$C$19</f>
        <v>0.234944380514001</v>
      </c>
      <c r="I30" s="21" t="n">
        <f aca="false">D30/$D$19</f>
        <v>0.21803747345097</v>
      </c>
    </row>
    <row r="31" customFormat="false" ht="14.25" hidden="false" customHeight="true" outlineLevel="0" collapsed="false">
      <c r="A31" s="20" t="s">
        <v>64</v>
      </c>
      <c r="B31" s="9" t="n">
        <v>49848</v>
      </c>
      <c r="C31" s="9" t="n">
        <v>45888</v>
      </c>
      <c r="D31" s="9" t="n">
        <v>41549</v>
      </c>
      <c r="E31" s="21" t="n">
        <f aca="false">(C31-B31)/B31</f>
        <v>-0.0794415021665864</v>
      </c>
      <c r="F31" s="21" t="n">
        <f aca="false">(D31-C31)/C31</f>
        <v>-0.0945563110181311</v>
      </c>
      <c r="G31" s="21" t="n">
        <f aca="false">B31/$B$19</f>
        <v>0.141379476605508</v>
      </c>
      <c r="H31" s="21" t="n">
        <f aca="false">C31/$C$19</f>
        <v>0.125727437119842</v>
      </c>
      <c r="I31" s="21" t="n">
        <f aca="false">D31/$D$19</f>
        <v>0.115657733944622</v>
      </c>
    </row>
    <row r="32" customFormat="false" ht="14.25" hidden="false" customHeight="true" outlineLevel="0" collapsed="false">
      <c r="A32" s="11" t="s">
        <v>65</v>
      </c>
      <c r="B32" s="12" t="n">
        <f aca="false">SUM(B30:B31)</f>
        <v>145129</v>
      </c>
      <c r="C32" s="12" t="n">
        <f aca="false">SUM(C30:C31)</f>
        <v>131638</v>
      </c>
      <c r="D32" s="12" t="n">
        <f aca="false">SUM(D30:D31)</f>
        <v>119877</v>
      </c>
      <c r="E32" s="13" t="n">
        <f aca="false">(C32-B32)/B32</f>
        <v>-0.0929586781415155</v>
      </c>
      <c r="F32" s="13" t="n">
        <f aca="false">(D32-C32)/C32</f>
        <v>-0.089343502636017</v>
      </c>
      <c r="G32" s="13" t="n">
        <f aca="false">B32/$B$19</f>
        <v>0.411616555534442</v>
      </c>
      <c r="H32" s="13" t="n">
        <f aca="false">C32/$C$19</f>
        <v>0.360671817633843</v>
      </c>
      <c r="I32" s="13" t="n">
        <f aca="false">D32/$D$19</f>
        <v>0.333695207395592</v>
      </c>
    </row>
    <row r="33" customFormat="false" ht="14.25" hidden="false" customHeight="true" outlineLevel="0" collapsed="false">
      <c r="A33" s="14" t="s">
        <v>66</v>
      </c>
      <c r="B33" s="15" t="n">
        <f aca="false">B28+B32</f>
        <v>290437</v>
      </c>
      <c r="C33" s="15" t="n">
        <f aca="false">C28+C32</f>
        <v>308030</v>
      </c>
      <c r="D33" s="15" t="n">
        <f aca="false">D28+D32</f>
        <v>285508</v>
      </c>
      <c r="E33" s="16" t="n">
        <f aca="false">(C33-B33)/B33</f>
        <v>0.0605742381308167</v>
      </c>
      <c r="F33" s="16" t="n">
        <f aca="false">(D33-C33)/C33</f>
        <v>-0.073116254910236</v>
      </c>
      <c r="G33" s="16" t="n">
        <f aca="false">B33/$B$19</f>
        <v>0.823740792948044</v>
      </c>
      <c r="H33" s="16" t="n">
        <f aca="false">C33/$C$19</f>
        <v>0.843964052824812</v>
      </c>
      <c r="I33" s="16" t="n">
        <f aca="false">D33/$D$19</f>
        <v>0.794753382826571</v>
      </c>
    </row>
    <row r="34" customFormat="false" ht="14.25" hidden="false" customHeight="true" outlineLevel="0" collapsed="false">
      <c r="E34" s="17"/>
      <c r="F34" s="17"/>
      <c r="G34" s="17"/>
      <c r="H34" s="17"/>
      <c r="I34" s="17"/>
    </row>
    <row r="35" customFormat="false" ht="14.25" hidden="false" customHeight="true" outlineLevel="0" collapsed="false">
      <c r="A35" s="6" t="s">
        <v>67</v>
      </c>
      <c r="B35" s="6"/>
      <c r="C35" s="6"/>
      <c r="D35" s="6"/>
      <c r="E35" s="7"/>
      <c r="F35" s="7"/>
      <c r="G35" s="7"/>
      <c r="H35" s="7"/>
      <c r="I35" s="7"/>
    </row>
    <row r="36" customFormat="false" ht="14.25" hidden="false" customHeight="true" outlineLevel="0" collapsed="false">
      <c r="A36" s="20" t="s">
        <v>68</v>
      </c>
      <c r="B36" s="9" t="n">
        <v>73812</v>
      </c>
      <c r="C36" s="9" t="n">
        <v>83276</v>
      </c>
      <c r="D36" s="9" t="n">
        <v>93568</v>
      </c>
      <c r="E36" s="21" t="n">
        <f aca="false">(C36-B36)/B36</f>
        <v>0.128217633989053</v>
      </c>
      <c r="F36" s="21" t="n">
        <f aca="false">(D36-C36)/C36</f>
        <v>0.123589029252125</v>
      </c>
      <c r="G36" s="21" t="n">
        <f aca="false">B36/$B$19</f>
        <v>0.209346451757459</v>
      </c>
      <c r="H36" s="21" t="n">
        <f aca="false">C36/$C$19</f>
        <v>0.228165926900104</v>
      </c>
      <c r="I36" s="21" t="n">
        <f aca="false">D36/$D$19</f>
        <v>0.260460248134261</v>
      </c>
    </row>
    <row r="37" customFormat="false" ht="14.25" hidden="false" customHeight="true" outlineLevel="0" collapsed="false">
      <c r="A37" s="20" t="s">
        <v>69</v>
      </c>
      <c r="B37" s="9" t="n">
        <v>-214</v>
      </c>
      <c r="C37" s="9" t="n">
        <v>-19154</v>
      </c>
      <c r="D37" s="9" t="n">
        <v>-14264</v>
      </c>
      <c r="E37" s="21" t="n">
        <f aca="false">(C37-B37)/B37</f>
        <v>88.5046728971963</v>
      </c>
      <c r="F37" s="21" t="n">
        <f aca="false">(D37-C37)/C37</f>
        <v>-0.255299154223661</v>
      </c>
      <c r="G37" s="21" t="n">
        <f aca="false">B37/$B$19</f>
        <v>-0.000606949285700105</v>
      </c>
      <c r="H37" s="21" t="n">
        <f aca="false">C37/$C$19</f>
        <v>-0.0524795879226259</v>
      </c>
      <c r="I37" s="21" t="n">
        <f aca="false">D37/$D$19</f>
        <v>-0.039705935569715</v>
      </c>
    </row>
    <row r="38" customFormat="false" ht="14.25" hidden="false" customHeight="true" outlineLevel="0" collapsed="false">
      <c r="A38" s="20" t="s">
        <v>70</v>
      </c>
      <c r="B38" s="9" t="n">
        <v>-11452</v>
      </c>
      <c r="C38" s="9" t="n">
        <v>-7172</v>
      </c>
      <c r="D38" s="9" t="n">
        <v>-5571</v>
      </c>
      <c r="E38" s="21" t="n">
        <f aca="false">(C38-B38)/B38</f>
        <v>-0.373733845616486</v>
      </c>
      <c r="F38" s="21" t="n">
        <f aca="false">(D38-C38)/C38</f>
        <v>-0.223229224762967</v>
      </c>
      <c r="G38" s="21" t="n">
        <f aca="false">B38/$B$19</f>
        <v>-0.0324802954198019</v>
      </c>
      <c r="H38" s="21" t="n">
        <f aca="false">C38/$C$19</f>
        <v>-0.0196503918022905</v>
      </c>
      <c r="I38" s="21" t="n">
        <f aca="false">D38/$D$19</f>
        <v>-0.0155076953911163</v>
      </c>
    </row>
    <row r="39" customFormat="false" ht="14.25" hidden="false" customHeight="true" outlineLevel="0" collapsed="false">
      <c r="A39" s="14" t="s">
        <v>71</v>
      </c>
      <c r="B39" s="15" t="n">
        <f aca="false">SUM(B36:B38)</f>
        <v>62146</v>
      </c>
      <c r="C39" s="15" t="n">
        <f aca="false">SUM(C36:C38)</f>
        <v>56950</v>
      </c>
      <c r="D39" s="15" t="n">
        <f aca="false">SUM(D36:D38)</f>
        <v>73733</v>
      </c>
      <c r="E39" s="16" t="n">
        <f aca="false">(C39-B39)/B39</f>
        <v>-0.0836095645737457</v>
      </c>
      <c r="F39" s="16" t="n">
        <f aca="false">(D39-C39)/C39</f>
        <v>0.294697102721686</v>
      </c>
      <c r="G39" s="16" t="n">
        <f aca="false">B39/$B$19</f>
        <v>0.176259207051957</v>
      </c>
      <c r="H39" s="16" t="n">
        <f aca="false">C39/$C$19</f>
        <v>0.156035947175188</v>
      </c>
      <c r="I39" s="16" t="n">
        <f aca="false">D39/$D$19</f>
        <v>0.20524661717343</v>
      </c>
    </row>
    <row r="40" customFormat="false" ht="14.25" hidden="false" customHeight="true" outlineLevel="0" collapsed="false">
      <c r="A40" s="14" t="s">
        <v>72</v>
      </c>
      <c r="B40" s="15" t="n">
        <f aca="false">B33+B39</f>
        <v>352583</v>
      </c>
      <c r="C40" s="15" t="n">
        <f aca="false">C33+C39</f>
        <v>364980</v>
      </c>
      <c r="D40" s="15" t="n">
        <f aca="false">D33+D39</f>
        <v>359241</v>
      </c>
      <c r="E40" s="16" t="n">
        <f aca="false">(C40-B40)/B40</f>
        <v>0.0351605153963748</v>
      </c>
      <c r="F40" s="16" t="n">
        <f aca="false">(D40-C40)/C40</f>
        <v>-0.0157241492684531</v>
      </c>
      <c r="G40" s="16" t="n">
        <f aca="false">B40/$B$19</f>
        <v>1</v>
      </c>
      <c r="H40" s="16" t="n">
        <f aca="false">C40/$C$19</f>
        <v>1</v>
      </c>
      <c r="I40" s="16" t="n">
        <f aca="false">D40/$D$19</f>
        <v>1</v>
      </c>
    </row>
    <row r="41" customFormat="false" ht="14.25" hidden="false" customHeight="true" outlineLevel="0" collapsed="false">
      <c r="A41" s="8" t="s">
        <v>73</v>
      </c>
      <c r="B41" s="9" t="n">
        <f aca="false">B19-B40</f>
        <v>0</v>
      </c>
      <c r="C41" s="9" t="n">
        <f aca="false">C19-C40</f>
        <v>0</v>
      </c>
      <c r="D41" s="9" t="n">
        <f aca="false">D19-D40</f>
        <v>0</v>
      </c>
      <c r="E41" s="8"/>
      <c r="F41" s="10"/>
      <c r="G41" s="10"/>
      <c r="H41" s="10"/>
      <c r="I41" s="10"/>
    </row>
    <row r="43" customFormat="false" ht="14.25" hidden="false" customHeight="true" outlineLevel="0" collapsed="false">
      <c r="A43" s="22"/>
    </row>
    <row r="44" customFormat="false" ht="14.25" hidden="false" customHeight="true" outlineLevel="0" collapsed="false">
      <c r="A44" s="6" t="s">
        <v>74</v>
      </c>
      <c r="B44" s="6"/>
    </row>
    <row r="45" customFormat="false" ht="14.25" hidden="false" customHeight="true" outlineLevel="0" collapsed="false">
      <c r="A45" s="20" t="s">
        <v>75</v>
      </c>
      <c r="B45" s="9" t="n">
        <v>352755</v>
      </c>
    </row>
    <row r="46" customFormat="false" ht="14.25" hidden="false" customHeight="true" outlineLevel="0" collapsed="false">
      <c r="A46" s="20" t="s">
        <v>76</v>
      </c>
      <c r="B46" s="9" t="n">
        <v>50672</v>
      </c>
    </row>
    <row r="48" customFormat="false" ht="14.25" hidden="false" customHeight="true" outlineLevel="0" collapsed="false">
      <c r="A48" s="19" t="s">
        <v>77</v>
      </c>
      <c r="B48" s="19"/>
      <c r="C48" s="19"/>
      <c r="D48" s="19"/>
      <c r="E48" s="19"/>
      <c r="F48" s="19"/>
      <c r="G48" s="19"/>
      <c r="H48" s="19"/>
      <c r="I48" s="19"/>
    </row>
  </sheetData>
  <mergeCells count="1"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8" activeCellId="0" sqref="A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5"/>
    <col collapsed="false" customWidth="true" hidden="false" outlineLevel="0" max="6" min="5" style="1" width="16.77"/>
  </cols>
  <sheetData>
    <row r="1" customFormat="false" ht="15.75" hidden="false" customHeight="true" outlineLevel="0" collapsed="false">
      <c r="A1" s="2" t="s">
        <v>78</v>
      </c>
    </row>
    <row r="2" customFormat="false" ht="14.25" hidden="false" customHeight="true" outlineLevel="0" collapsed="false">
      <c r="A2" s="3" t="s">
        <v>79</v>
      </c>
    </row>
    <row r="4" customFormat="false" ht="14.25" hidden="false" customHeight="true" outlineLevel="0" collapsed="false">
      <c r="A4" s="4" t="s">
        <v>80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</row>
    <row r="5" customFormat="false" ht="14.25" hidden="false" customHeight="true" outlineLevel="0" collapsed="false">
      <c r="A5" s="8" t="s">
        <v>81</v>
      </c>
      <c r="B5" s="9" t="n">
        <v>24977</v>
      </c>
      <c r="C5" s="9" t="n">
        <f aca="false">B39</f>
        <v>30737</v>
      </c>
      <c r="D5" s="9" t="n">
        <f aca="false">C39</f>
        <v>29943</v>
      </c>
      <c r="E5" s="10"/>
      <c r="F5" s="10"/>
    </row>
    <row r="6" customFormat="false" ht="14.25" hidden="false" customHeight="true" outlineLevel="0" collapsed="false">
      <c r="E6" s="17"/>
      <c r="F6" s="17"/>
    </row>
    <row r="7" customFormat="false" ht="14.25" hidden="false" customHeight="true" outlineLevel="0" collapsed="false">
      <c r="A7" s="6" t="s">
        <v>82</v>
      </c>
      <c r="B7" s="6"/>
      <c r="C7" s="6"/>
      <c r="D7" s="6"/>
      <c r="E7" s="7"/>
      <c r="F7" s="7"/>
    </row>
    <row r="8" customFormat="false" ht="14.25" hidden="false" customHeight="true" outlineLevel="0" collapsed="false">
      <c r="A8" s="20" t="s">
        <v>26</v>
      </c>
      <c r="B8" s="9" t="n">
        <v>96995</v>
      </c>
      <c r="C8" s="9" t="n">
        <v>93736</v>
      </c>
      <c r="D8" s="9" t="n">
        <v>112010</v>
      </c>
      <c r="E8" s="21" t="n">
        <f aca="false">(C8-B8)/B8</f>
        <v>-0.0335996700860869</v>
      </c>
      <c r="F8" s="21" t="n">
        <f aca="false">(D8-C8)/C8</f>
        <v>0.194951779465734</v>
      </c>
    </row>
    <row r="9" customFormat="false" ht="14.25" hidden="false" customHeight="true" outlineLevel="0" collapsed="false">
      <c r="A9" s="20" t="s">
        <v>83</v>
      </c>
      <c r="B9" s="9" t="n">
        <v>11519</v>
      </c>
      <c r="C9" s="9" t="n">
        <v>11445</v>
      </c>
      <c r="D9" s="9" t="n">
        <v>11698</v>
      </c>
      <c r="E9" s="21" t="n">
        <f aca="false">(C9-B9)/B9</f>
        <v>-0.00642416876464971</v>
      </c>
      <c r="F9" s="21" t="n">
        <f aca="false">(D9-C9)/C9</f>
        <v>0.0221057230231542</v>
      </c>
    </row>
    <row r="10" customFormat="false" ht="14.25" hidden="false" customHeight="true" outlineLevel="0" collapsed="false">
      <c r="A10" s="20" t="s">
        <v>84</v>
      </c>
      <c r="B10" s="9" t="n">
        <v>10833</v>
      </c>
      <c r="C10" s="9" t="n">
        <v>11688</v>
      </c>
      <c r="D10" s="9" t="n">
        <v>12863</v>
      </c>
      <c r="E10" s="21" t="n">
        <f aca="false">(C10-B10)/B10</f>
        <v>0.0789255054001662</v>
      </c>
      <c r="F10" s="21" t="n">
        <f aca="false">(D10-C10)/C10</f>
        <v>0.100530458590007</v>
      </c>
    </row>
    <row r="11" customFormat="false" ht="14.25" hidden="false" customHeight="true" outlineLevel="0" collapsed="false">
      <c r="A11" s="20" t="s">
        <v>85</v>
      </c>
      <c r="B11" s="9" t="n">
        <v>-2227</v>
      </c>
      <c r="C11" s="9" t="n">
        <v>-2266</v>
      </c>
      <c r="D11" s="9" t="n">
        <v>-89</v>
      </c>
      <c r="E11" s="21" t="n">
        <f aca="false">(C11-B11)/B11</f>
        <v>0.0175123484508307</v>
      </c>
      <c r="F11" s="21" t="n">
        <f aca="false">(D11-C11)/C11</f>
        <v>-0.96072374227714</v>
      </c>
    </row>
    <row r="12" customFormat="false" ht="14.25" hidden="false" customHeight="true" outlineLevel="0" collapsed="false">
      <c r="A12" s="20" t="s">
        <v>86</v>
      </c>
      <c r="B12" s="9"/>
      <c r="C12" s="9" t="n">
        <v>-3788</v>
      </c>
      <c r="D12" s="9" t="n">
        <v>-6682</v>
      </c>
      <c r="E12" s="21" t="e">
        <f aca="false">(C12-B12)/B12</f>
        <v>#DIV/0!</v>
      </c>
      <c r="F12" s="21" t="n">
        <f aca="false">(D12-C12)/C12</f>
        <v>0.763991552270327</v>
      </c>
    </row>
    <row r="13" customFormat="false" ht="14.25" hidden="false" customHeight="true" outlineLevel="0" collapsed="false">
      <c r="A13" s="20" t="s">
        <v>87</v>
      </c>
      <c r="B13" s="9"/>
      <c r="C13" s="9" t="n">
        <v>-1356</v>
      </c>
      <c r="D13" s="9" t="n">
        <v>-347</v>
      </c>
      <c r="E13" s="21" t="e">
        <f aca="false">(C13-B13)/B13</f>
        <v>#DIV/0!</v>
      </c>
      <c r="F13" s="21" t="n">
        <f aca="false">(D13-C13)/C13</f>
        <v>-0.744100294985251</v>
      </c>
    </row>
    <row r="14" customFormat="false" ht="14.25" hidden="false" customHeight="true" outlineLevel="0" collapsed="false">
      <c r="A14" s="20" t="s">
        <v>88</v>
      </c>
      <c r="B14" s="9"/>
      <c r="C14" s="9" t="n">
        <v>-1046</v>
      </c>
      <c r="D14" s="9" t="n">
        <v>1400</v>
      </c>
      <c r="E14" s="21" t="e">
        <f aca="false">(C14-B14)/B14</f>
        <v>#DIV/0!</v>
      </c>
      <c r="F14" s="21" t="n">
        <f aca="false">(D14-C14)/C14</f>
        <v>-2.33843212237094</v>
      </c>
    </row>
    <row r="15" customFormat="false" ht="14.25" hidden="false" customHeight="true" outlineLevel="0" collapsed="false">
      <c r="A15" s="20" t="s">
        <v>89</v>
      </c>
      <c r="B15" s="9"/>
      <c r="C15" s="9" t="n">
        <v>-11731</v>
      </c>
      <c r="D15" s="9" t="n">
        <v>-9197</v>
      </c>
      <c r="E15" s="21" t="e">
        <f aca="false">(C15-B15)/B15</f>
        <v>#DIV/0!</v>
      </c>
      <c r="F15" s="21" t="n">
        <f aca="false">(D15-C15)/C15</f>
        <v>-0.216008865399369</v>
      </c>
    </row>
    <row r="16" customFormat="false" ht="14.25" hidden="false" customHeight="true" outlineLevel="0" collapsed="false">
      <c r="A16" s="20" t="s">
        <v>90</v>
      </c>
      <c r="B16" s="9"/>
      <c r="C16" s="9" t="n">
        <v>6020</v>
      </c>
      <c r="D16" s="9" t="n">
        <v>902</v>
      </c>
      <c r="E16" s="21" t="e">
        <f aca="false">(C16-B16)/B16</f>
        <v>#DIV/0!</v>
      </c>
      <c r="F16" s="21" t="n">
        <f aca="false">(D16-C16)/C16</f>
        <v>-0.850166112956811</v>
      </c>
    </row>
    <row r="17" customFormat="false" ht="14.25" hidden="false" customHeight="true" outlineLevel="0" collapsed="false">
      <c r="A17" s="20" t="s">
        <v>91</v>
      </c>
      <c r="B17" s="9"/>
      <c r="C17" s="9" t="n">
        <v>15552</v>
      </c>
      <c r="D17" s="9" t="n">
        <v>-11076</v>
      </c>
      <c r="E17" s="21" t="e">
        <f aca="false">(C17-B17)/B17</f>
        <v>#DIV/0!</v>
      </c>
      <c r="F17" s="21" t="n">
        <f aca="false">(D17-C17)/C17</f>
        <v>-1.71219135802469</v>
      </c>
    </row>
    <row r="18" customFormat="false" ht="14.25" hidden="false" customHeight="true" outlineLevel="0" collapsed="false">
      <c r="A18" s="11" t="s">
        <v>92</v>
      </c>
      <c r="B18" s="12" t="n">
        <v>110543</v>
      </c>
      <c r="C18" s="12" t="n">
        <f aca="false">SUM(C8:C17)</f>
        <v>118254</v>
      </c>
      <c r="D18" s="12" t="n">
        <f aca="false">SUM(D8:D17)</f>
        <v>111482</v>
      </c>
      <c r="E18" s="13" t="n">
        <f aca="false">(C18-B18)/B18</f>
        <v>0.0697556606931239</v>
      </c>
      <c r="F18" s="13" t="n">
        <f aca="false">(D18-C18)/C18</f>
        <v>-0.0572665618076344</v>
      </c>
    </row>
    <row r="19" customFormat="false" ht="14.25" hidden="false" customHeight="true" outlineLevel="0" collapsed="false">
      <c r="E19" s="17"/>
      <c r="F19" s="17"/>
    </row>
    <row r="20" customFormat="false" ht="14.25" hidden="false" customHeight="true" outlineLevel="0" collapsed="false">
      <c r="A20" s="6" t="s">
        <v>93</v>
      </c>
      <c r="B20" s="6"/>
      <c r="C20" s="6"/>
      <c r="D20" s="6"/>
      <c r="E20" s="7"/>
      <c r="F20" s="7"/>
    </row>
    <row r="21" customFormat="false" ht="14.25" hidden="false" customHeight="true" outlineLevel="0" collapsed="false">
      <c r="A21" s="20" t="s">
        <v>94</v>
      </c>
      <c r="B21" s="9" t="n">
        <v>-29513</v>
      </c>
      <c r="C21" s="9" t="n">
        <v>-48656</v>
      </c>
      <c r="D21" s="9" t="n">
        <v>-24407</v>
      </c>
      <c r="E21" s="21" t="n">
        <f aca="false">(C21-B21)/B21</f>
        <v>0.648629417544811</v>
      </c>
      <c r="F21" s="21" t="n">
        <f aca="false">(D21-C21)/C21</f>
        <v>-0.49837635646169</v>
      </c>
    </row>
    <row r="22" customFormat="false" ht="14.25" hidden="false" customHeight="true" outlineLevel="0" collapsed="false">
      <c r="A22" s="20" t="s">
        <v>95</v>
      </c>
      <c r="B22" s="9" t="n">
        <v>39686</v>
      </c>
      <c r="C22" s="9" t="n">
        <v>51211</v>
      </c>
      <c r="D22" s="9" t="n">
        <v>40907</v>
      </c>
      <c r="E22" s="21" t="n">
        <f aca="false">(C22-B22)/B22</f>
        <v>0.290404676712191</v>
      </c>
      <c r="F22" s="21" t="n">
        <f aca="false">(D22-C22)/C22</f>
        <v>-0.201206771982582</v>
      </c>
    </row>
    <row r="23" customFormat="false" ht="14.25" hidden="false" customHeight="true" outlineLevel="0" collapsed="false">
      <c r="A23" s="20" t="s">
        <v>96</v>
      </c>
      <c r="B23" s="9" t="n">
        <v>5828</v>
      </c>
      <c r="C23" s="9" t="n">
        <v>11135</v>
      </c>
      <c r="D23" s="9" t="n">
        <v>12890</v>
      </c>
      <c r="E23" s="21" t="n">
        <f aca="false">(C23-B23)/B23</f>
        <v>0.91060398078243</v>
      </c>
      <c r="F23" s="21" t="n">
        <f aca="false">(D23-C23)/C23</f>
        <v>0.157611136057476</v>
      </c>
    </row>
    <row r="24" customFormat="false" ht="14.25" hidden="false" customHeight="true" outlineLevel="0" collapsed="false">
      <c r="A24" s="20" t="s">
        <v>97</v>
      </c>
      <c r="B24" s="9" t="n">
        <v>-10959</v>
      </c>
      <c r="C24" s="9" t="n">
        <v>-9447</v>
      </c>
      <c r="D24" s="9" t="n">
        <v>-12715</v>
      </c>
      <c r="E24" s="21" t="n">
        <f aca="false">(C24-B24)/B24</f>
        <v>-0.137968792773063</v>
      </c>
      <c r="F24" s="21" t="n">
        <f aca="false">(D24-C24)/C24</f>
        <v>0.345929924843866</v>
      </c>
    </row>
    <row r="25" customFormat="false" ht="14.25" hidden="false" customHeight="true" outlineLevel="0" collapsed="false">
      <c r="A25" s="20" t="s">
        <v>85</v>
      </c>
      <c r="B25" s="9" t="n">
        <v>-1337</v>
      </c>
      <c r="C25" s="9" t="n">
        <v>-1308</v>
      </c>
      <c r="D25" s="9" t="n">
        <v>-1480</v>
      </c>
      <c r="E25" s="21" t="n">
        <f aca="false">(C25-B25)/B25</f>
        <v>-0.0216903515332835</v>
      </c>
      <c r="F25" s="21" t="n">
        <f aca="false">(D25-C25)/C25</f>
        <v>0.131498470948012</v>
      </c>
    </row>
    <row r="26" customFormat="false" ht="14.25" hidden="false" customHeight="true" outlineLevel="0" collapsed="false">
      <c r="A26" s="11" t="s">
        <v>98</v>
      </c>
      <c r="B26" s="12" t="n">
        <f aca="false">SUM(B21:B25)</f>
        <v>3705</v>
      </c>
      <c r="C26" s="12" t="n">
        <f aca="false">SUM(C21:C25)</f>
        <v>2935</v>
      </c>
      <c r="D26" s="12" t="n">
        <f aca="false">SUM(D21:D25)</f>
        <v>15195</v>
      </c>
      <c r="E26" s="13" t="n">
        <f aca="false">(C26-B26)/B26</f>
        <v>-0.207827260458839</v>
      </c>
      <c r="F26" s="13" t="n">
        <f aca="false">(D26-C26)/C26</f>
        <v>4.17717206132879</v>
      </c>
    </row>
    <row r="27" customFormat="false" ht="14.25" hidden="false" customHeight="true" outlineLevel="0" collapsed="false">
      <c r="E27" s="17"/>
      <c r="F27" s="17"/>
    </row>
    <row r="28" customFormat="false" ht="14.25" hidden="false" customHeight="true" outlineLevel="0" collapsed="false">
      <c r="A28" s="6" t="s">
        <v>99</v>
      </c>
      <c r="B28" s="6"/>
      <c r="C28" s="6"/>
      <c r="D28" s="6"/>
      <c r="E28" s="7"/>
      <c r="F28" s="7"/>
    </row>
    <row r="29" customFormat="false" ht="14.25" hidden="false" customHeight="true" outlineLevel="0" collapsed="false">
      <c r="A29" s="20" t="s">
        <v>100</v>
      </c>
      <c r="B29" s="9" t="n">
        <v>-5431</v>
      </c>
      <c r="C29" s="9" t="n">
        <v>-5441</v>
      </c>
      <c r="D29" s="9" t="n">
        <v>-5960</v>
      </c>
      <c r="E29" s="21" t="n">
        <f aca="false">(C29-B29)/B29</f>
        <v>0.00184128153194623</v>
      </c>
      <c r="F29" s="21" t="n">
        <f aca="false">(D29-C29)/C29</f>
        <v>0.0953868774122404</v>
      </c>
    </row>
    <row r="30" customFormat="false" ht="14.25" hidden="false" customHeight="true" outlineLevel="0" collapsed="false">
      <c r="A30" s="20" t="s">
        <v>101</v>
      </c>
      <c r="B30" s="9" t="n">
        <v>-15025</v>
      </c>
      <c r="C30" s="9" t="n">
        <v>-15234</v>
      </c>
      <c r="D30" s="9" t="n">
        <v>-15421</v>
      </c>
      <c r="E30" s="21" t="n">
        <f aca="false">(C30-B30)/B30</f>
        <v>0.013910149750416</v>
      </c>
      <c r="F30" s="21" t="n">
        <f aca="false">(D30-C30)/C30</f>
        <v>0.0122751739529999</v>
      </c>
    </row>
    <row r="31" customFormat="false" ht="14.25" hidden="false" customHeight="true" outlineLevel="0" collapsed="false">
      <c r="A31" s="20" t="s">
        <v>102</v>
      </c>
      <c r="B31" s="9" t="n">
        <v>-77550</v>
      </c>
      <c r="C31" s="9" t="n">
        <v>-94949</v>
      </c>
      <c r="D31" s="9" t="n">
        <v>-90711</v>
      </c>
      <c r="E31" s="21" t="n">
        <f aca="false">(C31-B31)/B31</f>
        <v>0.224358478401032</v>
      </c>
      <c r="F31" s="21" t="n">
        <f aca="false">(D31-C31)/C31</f>
        <v>-0.0446344879882885</v>
      </c>
    </row>
    <row r="32" customFormat="false" ht="14.25" hidden="false" customHeight="true" outlineLevel="0" collapsed="false">
      <c r="A32" s="20" t="s">
        <v>103</v>
      </c>
      <c r="B32" s="9" t="n">
        <v>5228</v>
      </c>
      <c r="C32" s="9" t="n">
        <v>0</v>
      </c>
      <c r="D32" s="9" t="n">
        <v>4481</v>
      </c>
      <c r="E32" s="21" t="n">
        <f aca="false">(C32-B32)/B32</f>
        <v>-1</v>
      </c>
      <c r="F32" s="21" t="e">
        <f aca="false">(D32-C32)/C32</f>
        <v>#DIV/0!</v>
      </c>
    </row>
    <row r="33" customFormat="false" ht="14.25" hidden="false" customHeight="true" outlineLevel="0" collapsed="false">
      <c r="A33" s="20" t="s">
        <v>104</v>
      </c>
      <c r="B33" s="9" t="n">
        <v>-11151</v>
      </c>
      <c r="C33" s="9" t="n">
        <v>-9958</v>
      </c>
      <c r="D33" s="9" t="n">
        <v>-10932</v>
      </c>
      <c r="E33" s="21" t="n">
        <f aca="false">(C33-B33)/B33</f>
        <v>-0.106985920545243</v>
      </c>
      <c r="F33" s="21" t="n">
        <f aca="false">(D33-C33)/C33</f>
        <v>0.097810805382607</v>
      </c>
    </row>
    <row r="34" customFormat="false" ht="14.25" hidden="false" customHeight="true" outlineLevel="0" collapsed="false">
      <c r="A34" s="20" t="s">
        <v>105</v>
      </c>
      <c r="B34" s="9" t="n">
        <v>-3978</v>
      </c>
      <c r="C34" s="9" t="n">
        <v>3960</v>
      </c>
      <c r="D34" s="9" t="n">
        <v>-2032</v>
      </c>
      <c r="E34" s="21" t="n">
        <f aca="false">(C34-B34)/B34</f>
        <v>-1.99547511312217</v>
      </c>
      <c r="F34" s="21" t="n">
        <f aca="false">(D34-C34)/C34</f>
        <v>-1.51313131313131</v>
      </c>
    </row>
    <row r="35" customFormat="false" ht="14.25" hidden="false" customHeight="true" outlineLevel="0" collapsed="false">
      <c r="A35" s="20" t="s">
        <v>85</v>
      </c>
      <c r="B35" s="9" t="n">
        <v>-581</v>
      </c>
      <c r="C35" s="9" t="n">
        <v>-361</v>
      </c>
      <c r="D35" s="9" t="n">
        <v>-111</v>
      </c>
      <c r="E35" s="21" t="n">
        <f aca="false">(C35-B35)/B35</f>
        <v>-0.378657487091222</v>
      </c>
      <c r="F35" s="21" t="n">
        <f aca="false">(D35-C35)/C35</f>
        <v>-0.692520775623269</v>
      </c>
    </row>
    <row r="36" customFormat="false" ht="14.25" hidden="false" customHeight="true" outlineLevel="0" collapsed="false">
      <c r="A36" s="11" t="s">
        <v>106</v>
      </c>
      <c r="B36" s="12" t="n">
        <f aca="false">SUM(B29:B35)</f>
        <v>-108488</v>
      </c>
      <c r="C36" s="12" t="n">
        <f aca="false">SUM(C29:C35)</f>
        <v>-121983</v>
      </c>
      <c r="D36" s="12" t="n">
        <f aca="false">SUM(D29:D35)</f>
        <v>-120686</v>
      </c>
      <c r="E36" s="13" t="n">
        <f aca="false">(C36-B36)/B36</f>
        <v>0.124391637784824</v>
      </c>
      <c r="F36" s="13" t="n">
        <f aca="false">(D36-C36)/C36</f>
        <v>-0.0106326291368469</v>
      </c>
    </row>
    <row r="37" customFormat="false" ht="14.25" hidden="false" customHeight="true" outlineLevel="0" collapsed="false">
      <c r="E37" s="17"/>
      <c r="F37" s="17"/>
    </row>
    <row r="38" customFormat="false" ht="14.25" hidden="false" customHeight="true" outlineLevel="0" collapsed="false">
      <c r="A38" s="11" t="s">
        <v>107</v>
      </c>
      <c r="B38" s="12" t="n">
        <f aca="false">B18+B26+B36</f>
        <v>5760</v>
      </c>
      <c r="C38" s="12" t="n">
        <f aca="false">C18+C26+C36</f>
        <v>-794</v>
      </c>
      <c r="D38" s="12" t="n">
        <f aca="false">D18+D26+D36</f>
        <v>5991</v>
      </c>
      <c r="E38" s="13" t="n">
        <f aca="false">(C38-B38)/B38</f>
        <v>-1.13784722222222</v>
      </c>
      <c r="F38" s="13" t="n">
        <f aca="false">(D38-C38)/C38</f>
        <v>-8.54534005037783</v>
      </c>
    </row>
    <row r="39" customFormat="false" ht="14.25" hidden="false" customHeight="true" outlineLevel="0" collapsed="false">
      <c r="A39" s="14" t="s">
        <v>108</v>
      </c>
      <c r="B39" s="15" t="n">
        <f aca="false">B5+B38</f>
        <v>30737</v>
      </c>
      <c r="C39" s="15" t="n">
        <f aca="false">C5+C38</f>
        <v>29943</v>
      </c>
      <c r="D39" s="15" t="n">
        <f aca="false">D5+D38</f>
        <v>35934</v>
      </c>
      <c r="E39" s="16" t="n">
        <f aca="false">(C39-B39)/B39</f>
        <v>-0.0258320590818883</v>
      </c>
      <c r="F39" s="16" t="n">
        <f aca="false">(D39-C39)/C39</f>
        <v>0.20008015228935</v>
      </c>
    </row>
    <row r="40" customFormat="false" ht="14.25" hidden="false" customHeight="true" outlineLevel="0" collapsed="false">
      <c r="E40" s="17"/>
      <c r="F40" s="17"/>
    </row>
    <row r="41" customFormat="false" ht="14.25" hidden="false" customHeight="true" outlineLevel="0" collapsed="false">
      <c r="A41" s="6" t="s">
        <v>109</v>
      </c>
      <c r="B41" s="6"/>
      <c r="C41" s="6"/>
      <c r="D41" s="6"/>
      <c r="E41" s="7"/>
      <c r="F41" s="7"/>
    </row>
    <row r="42" customFormat="false" ht="14.25" hidden="false" customHeight="true" outlineLevel="0" collapsed="false">
      <c r="A42" s="20" t="s">
        <v>110</v>
      </c>
      <c r="B42" s="9" t="n">
        <v>18679</v>
      </c>
      <c r="C42" s="9" t="n">
        <v>26102</v>
      </c>
      <c r="D42" s="9" t="n">
        <v>43369</v>
      </c>
      <c r="E42" s="21" t="n">
        <f aca="false">(C42-B42)/B42</f>
        <v>0.397398147652444</v>
      </c>
      <c r="F42" s="21" t="n">
        <f aca="false">(D42-C42)/C42</f>
        <v>0.661520190023753</v>
      </c>
    </row>
    <row r="43" customFormat="false" ht="14.25" hidden="false" customHeight="true" outlineLevel="0" collapsed="false">
      <c r="A43" s="20" t="s">
        <v>111</v>
      </c>
      <c r="B43" s="9" t="n">
        <v>3803</v>
      </c>
      <c r="C43" s="9"/>
      <c r="D43" s="9"/>
      <c r="E43" s="21" t="n">
        <f aca="false">(C43-B43)/B43</f>
        <v>-1</v>
      </c>
      <c r="F43" s="21" t="e">
        <f aca="false">(D43-C43)/C43</f>
        <v>#DIV/0!</v>
      </c>
    </row>
    <row r="45" customFormat="false" ht="14.25" hidden="false" customHeight="true" outlineLevel="0" collapsed="false">
      <c r="A45" s="19" t="s">
        <v>29</v>
      </c>
      <c r="B45" s="19"/>
      <c r="C45" s="19"/>
      <c r="D45" s="19"/>
    </row>
  </sheetData>
  <mergeCells count="1"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5.44"/>
    <col collapsed="false" customWidth="true" hidden="false" outlineLevel="0" max="4" min="2" style="1" width="12.56"/>
  </cols>
  <sheetData>
    <row r="1" customFormat="false" ht="14.25" hidden="false" customHeight="true" outlineLevel="0" collapsed="false">
      <c r="A1" s="4" t="s">
        <v>112</v>
      </c>
      <c r="B1" s="4" t="s">
        <v>3</v>
      </c>
      <c r="C1" s="4" t="s">
        <v>4</v>
      </c>
      <c r="D1" s="4" t="s">
        <v>5</v>
      </c>
    </row>
    <row r="2" customFormat="false" ht="14.25" hidden="false" customHeight="true" outlineLevel="0" collapsed="false">
      <c r="A2" s="6" t="s">
        <v>113</v>
      </c>
      <c r="B2" s="6"/>
      <c r="C2" s="6"/>
      <c r="D2" s="6"/>
    </row>
    <row r="3" customFormat="false" ht="14.25" hidden="false" customHeight="true" outlineLevel="0" collapsed="false">
      <c r="A3" s="20" t="s">
        <v>114</v>
      </c>
      <c r="B3" s="23" t="n">
        <f aca="false">'Balance Sheet'!B13/'Balance Sheet'!B28</f>
        <v>0.988011671759298</v>
      </c>
      <c r="C3" s="23" t="n">
        <f aca="false">'Balance Sheet'!C13/'Balance Sheet'!C28</f>
        <v>0.867312576534083</v>
      </c>
      <c r="D3" s="23" t="n">
        <f aca="false">'Balance Sheet'!D13/'Balance Sheet'!D28</f>
        <v>0.893292922218667</v>
      </c>
    </row>
    <row r="4" customFormat="false" ht="14.25" hidden="false" customHeight="true" outlineLevel="0" collapsed="false">
      <c r="A4" s="20" t="s">
        <v>115</v>
      </c>
      <c r="B4" s="23" t="n">
        <f aca="false">('Balance Sheet'!B13-'Balance Sheet'!B11)/'Balance Sheet'!B28</f>
        <v>0.944442150466595</v>
      </c>
      <c r="C4" s="23" t="n">
        <f aca="false">('Balance Sheet'!C13-'Balance Sheet'!C11)/'Balance Sheet'!C28</f>
        <v>0.826006848383147</v>
      </c>
      <c r="D4" s="23" t="n">
        <f aca="false">('Balance Sheet'!D13-'Balance Sheet'!D11)/'Balance Sheet'!D28</f>
        <v>0.858770399261008</v>
      </c>
    </row>
    <row r="5" customFormat="false" ht="14.25" hidden="false" customHeight="true" outlineLevel="0" collapsed="false">
      <c r="A5" s="20" t="s">
        <v>116</v>
      </c>
      <c r="B5" s="23" t="n">
        <f aca="false">'Balance Sheet'!B7/'Balance Sheet'!B28</f>
        <v>0.206217138767308</v>
      </c>
      <c r="C5" s="23" t="n">
        <f aca="false">'Balance Sheet'!C7/'Balance Sheet'!C28</f>
        <v>0.169752596489637</v>
      </c>
      <c r="D5" s="23" t="n">
        <f aca="false">'Balance Sheet'!D7/'Balance Sheet'!D28</f>
        <v>0.216952140601699</v>
      </c>
    </row>
    <row r="6" customFormat="false" ht="14.25" hidden="false" customHeight="true" outlineLevel="0" collapsed="false">
      <c r="A6" s="6" t="s">
        <v>117</v>
      </c>
      <c r="B6" s="24"/>
      <c r="C6" s="24"/>
      <c r="D6" s="24"/>
    </row>
    <row r="7" customFormat="false" ht="14.25" hidden="false" customHeight="true" outlineLevel="0" collapsed="false">
      <c r="A7" s="20" t="s">
        <v>118</v>
      </c>
      <c r="B7" s="23" t="n">
        <f aca="false">'Income Statement'!B13/'Income Statement'!B8</f>
        <v>0.441311295772076</v>
      </c>
      <c r="C7" s="23" t="n">
        <f aca="false">'Income Statement'!C13/'Income Statement'!C8</f>
        <v>0.462063498152339</v>
      </c>
      <c r="D7" s="23" t="n">
        <f aca="false">'Income Statement'!D13/'Income Statement'!D8</f>
        <v>0.469051641071605</v>
      </c>
    </row>
    <row r="8" customFormat="false" ht="14.25" hidden="false" customHeight="true" outlineLevel="0" collapsed="false">
      <c r="A8" s="20" t="s">
        <v>119</v>
      </c>
      <c r="B8" s="23" t="n">
        <f aca="false">'Income Statement'!B18/'Income Statement'!B8</f>
        <v>0.298214122650247</v>
      </c>
      <c r="C8" s="23" t="n">
        <f aca="false">'Income Statement'!C18/'Income Statement'!C8</f>
        <v>0.315102228700756</v>
      </c>
      <c r="D8" s="23" t="n">
        <f aca="false">'Income Statement'!D18/'Income Statement'!D8</f>
        <v>0.319707997625919</v>
      </c>
    </row>
    <row r="9" customFormat="false" ht="14.25" hidden="false" customHeight="true" outlineLevel="0" collapsed="false">
      <c r="A9" s="20" t="s">
        <v>120</v>
      </c>
      <c r="B9" s="23" t="n">
        <f aca="false">'Income Statement'!B22/'Income Statement'!B8</f>
        <v>0.253062342643203</v>
      </c>
      <c r="C9" s="23" t="n">
        <f aca="false">'Income Statement'!C22/'Income Statement'!C8</f>
        <v>0.239712557699439</v>
      </c>
      <c r="D9" s="23" t="n">
        <f aca="false">'Income Statement'!D22/'Income Statement'!D8</f>
        <v>0.269150641218182</v>
      </c>
    </row>
    <row r="10" customFormat="false" ht="14.25" hidden="false" customHeight="true" outlineLevel="0" collapsed="false">
      <c r="A10" s="20" t="s">
        <v>121</v>
      </c>
      <c r="B10" s="23" t="n">
        <f aca="false">'Income Statement'!B22/(('Balance Sheet'!B45+'Balance Sheet'!B19)/2)</f>
        <v>0.27503126160791</v>
      </c>
      <c r="C10" s="23" t="n">
        <f aca="false">'Income Statement'!C22/(('Balance Sheet'!B19+'Balance Sheet'!C19)/2)</f>
        <v>0.261262077336764</v>
      </c>
      <c r="D10" s="23" t="n">
        <f aca="false">'Income Statement'!D22/(('Balance Sheet'!C19+'Balance Sheet'!D19)/2)</f>
        <v>0.3093254683308</v>
      </c>
    </row>
    <row r="11" customFormat="false" ht="14.25" hidden="false" customHeight="true" outlineLevel="0" collapsed="false">
      <c r="A11" s="20" t="s">
        <v>122</v>
      </c>
      <c r="B11" s="23" t="n">
        <f aca="false">'Income Statement'!B22/(('Balance Sheet'!B46+'Balance Sheet'!B39)/2)</f>
        <v>1.71949511602758</v>
      </c>
      <c r="C11" s="23" t="n">
        <f aca="false">'Income Statement'!C22/(('Balance Sheet'!B39+'Balance Sheet'!C39)/2)</f>
        <v>1.57412507556929</v>
      </c>
      <c r="D11" s="23" t="n">
        <f aca="false">'Income Statement'!D22/(('Balance Sheet'!C39+'Balance Sheet'!D39)/2)</f>
        <v>1.71422449744802</v>
      </c>
    </row>
    <row r="12" customFormat="false" ht="14.25" hidden="false" customHeight="true" outlineLevel="0" collapsed="false">
      <c r="A12" s="6" t="s">
        <v>123</v>
      </c>
      <c r="B12" s="24"/>
      <c r="C12" s="24"/>
      <c r="D12" s="24"/>
    </row>
    <row r="13" customFormat="false" ht="14.25" hidden="false" customHeight="true" outlineLevel="0" collapsed="false">
      <c r="A13" s="20" t="s">
        <v>124</v>
      </c>
      <c r="B13" s="23" t="n">
        <f aca="false">'Balance Sheet'!B33/'Balance Sheet'!B39</f>
        <v>4.67346249155215</v>
      </c>
      <c r="C13" s="23" t="n">
        <f aca="false">'Balance Sheet'!C33/'Balance Sheet'!C39</f>
        <v>5.40877963125549</v>
      </c>
      <c r="D13" s="23" t="n">
        <f aca="false">'Balance Sheet'!D33/'Balance Sheet'!D39</f>
        <v>3.87218748728521</v>
      </c>
    </row>
    <row r="14" customFormat="false" ht="14.25" hidden="false" customHeight="true" outlineLevel="0" collapsed="false">
      <c r="A14" s="20" t="s">
        <v>125</v>
      </c>
      <c r="B14" s="23" t="n">
        <f aca="false">('Income Statement'!B18)/3933</f>
        <v>29.0620391558607</v>
      </c>
      <c r="C14" s="23"/>
      <c r="D14" s="23"/>
    </row>
    <row r="15" customFormat="false" ht="14.25" hidden="false" customHeight="true" outlineLevel="0" collapsed="false">
      <c r="A15" s="6" t="s">
        <v>126</v>
      </c>
      <c r="B15" s="24"/>
      <c r="C15" s="24"/>
      <c r="D15" s="24"/>
    </row>
    <row r="16" customFormat="false" ht="14.25" hidden="false" customHeight="true" outlineLevel="0" collapsed="false">
      <c r="A16" s="20" t="s">
        <v>127</v>
      </c>
      <c r="B16" s="23"/>
      <c r="C16" s="23" t="n">
        <f aca="false">'Income Statement'!C10/(('Balance Sheet'!B11+'Balance Sheet'!C11)/2)</f>
        <v>27.2061393845928</v>
      </c>
      <c r="D16" s="23" t="n">
        <f aca="false">'Income Statement'!D10/(('Balance Sheet'!C11+'Balance Sheet'!D11)/2)</f>
        <v>29.8548139034143</v>
      </c>
    </row>
    <row r="17" customFormat="false" ht="14.25" hidden="false" customHeight="true" outlineLevel="0" collapsed="false">
      <c r="A17" s="20" t="s">
        <v>128</v>
      </c>
      <c r="B17" s="23"/>
      <c r="C17" s="23" t="n">
        <f aca="false">'Income Statement'!C8/(('Balance Sheet'!B9+'Balance Sheet'!C9)/2)</f>
        <v>12.4299882386598</v>
      </c>
      <c r="D17" s="23" t="n">
        <f aca="false">'Income Statement'!D8/(('Balance Sheet'!C9+'Balance Sheet'!D9)/2)</f>
        <v>11.3725388388648</v>
      </c>
    </row>
    <row r="18" customFormat="false" ht="14.25" hidden="false" customHeight="true" outlineLevel="0" collapsed="false">
      <c r="A18" s="20" t="s">
        <v>129</v>
      </c>
      <c r="B18" s="23"/>
      <c r="C18" s="23" t="n">
        <f aca="false">365/C17</f>
        <v>29.3644686537011</v>
      </c>
      <c r="D18" s="23" t="n">
        <f aca="false">365/D17</f>
        <v>32.0948563176271</v>
      </c>
    </row>
    <row r="19" customFormat="false" ht="14.25" hidden="false" customHeight="true" outlineLevel="0" collapsed="false">
      <c r="A19" s="20" t="s">
        <v>130</v>
      </c>
      <c r="B19" s="23"/>
      <c r="C19" s="23" t="n">
        <f aca="false">'Income Statement'!C12/(('Balance Sheet'!B23+'Balance Sheet'!C23)/2)</f>
        <v>3.19754353162931</v>
      </c>
      <c r="D19" s="23" t="n">
        <f aca="false">'Income Statement'!D12/(('Balance Sheet'!C23+'Balance Sheet'!D23)/2)</f>
        <v>3.18340296787206</v>
      </c>
    </row>
    <row r="20" customFormat="false" ht="14.25" hidden="false" customHeight="true" outlineLevel="0" collapsed="false">
      <c r="A20" s="20" t="s">
        <v>131</v>
      </c>
      <c r="B20" s="23"/>
      <c r="C20" s="23" t="n">
        <f aca="false">365/C19</f>
        <v>114.150126930098</v>
      </c>
      <c r="D20" s="23" t="n">
        <f aca="false">365/D19</f>
        <v>114.657177769732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5.77"/>
    <col collapsed="false" customWidth="true" hidden="false" outlineLevel="0" max="2" min="2" style="1" width="12"/>
    <col collapsed="false" customWidth="true" hidden="false" outlineLevel="0" max="3" min="3" style="1" width="11.77"/>
  </cols>
  <sheetData>
    <row r="1" customFormat="false" ht="14.25" hidden="false" customHeight="true" outlineLevel="0" collapsed="false">
      <c r="A1" s="4" t="s">
        <v>132</v>
      </c>
      <c r="B1" s="4" t="s">
        <v>133</v>
      </c>
      <c r="C1" s="4" t="s">
        <v>134</v>
      </c>
    </row>
    <row r="2" customFormat="false" ht="14.25" hidden="false" customHeight="true" outlineLevel="0" collapsed="false">
      <c r="A2" s="6" t="s">
        <v>135</v>
      </c>
      <c r="B2" s="6"/>
      <c r="C2" s="6"/>
    </row>
    <row r="3" customFormat="false" ht="14.25" hidden="false" customHeight="true" outlineLevel="0" collapsed="false">
      <c r="A3" s="20" t="s">
        <v>136</v>
      </c>
      <c r="B3" s="25" t="n">
        <v>36.71</v>
      </c>
      <c r="C3" s="25" t="n">
        <v>27.43</v>
      </c>
    </row>
    <row r="4" customFormat="false" ht="14.25" hidden="false" customHeight="true" outlineLevel="0" collapsed="false">
      <c r="A4" s="20" t="s">
        <v>137</v>
      </c>
      <c r="B4" s="25" t="n">
        <v>27.39</v>
      </c>
      <c r="C4" s="25" t="n">
        <v>19.07</v>
      </c>
    </row>
    <row r="5" customFormat="false" ht="14.25" hidden="false" customHeight="true" outlineLevel="0" collapsed="false">
      <c r="A5" s="20" t="s">
        <v>138</v>
      </c>
      <c r="B5" s="25" t="n">
        <v>17.39</v>
      </c>
      <c r="C5" s="25" t="n">
        <v>23.78</v>
      </c>
    </row>
    <row r="6" customFormat="false" ht="14.25" hidden="false" customHeight="true" outlineLevel="0" collapsed="false">
      <c r="A6" s="11" t="s">
        <v>139</v>
      </c>
      <c r="B6" s="26" t="n">
        <f aca="false">AVERAGE(B4:B5)</f>
        <v>22.39</v>
      </c>
      <c r="C6" s="26" t="n">
        <f aca="false">AVERAGE(C4:C5)</f>
        <v>21.425</v>
      </c>
    </row>
    <row r="7" customFormat="false" ht="14.25" hidden="false" customHeight="true" outlineLevel="0" collapsed="false">
      <c r="A7" s="6" t="s">
        <v>140</v>
      </c>
      <c r="B7" s="6"/>
      <c r="C7" s="6"/>
    </row>
    <row r="8" customFormat="false" ht="14.25" hidden="false" customHeight="true" outlineLevel="0" collapsed="false">
      <c r="A8" s="20" t="s">
        <v>141</v>
      </c>
      <c r="B8" s="25" t="n">
        <v>319.97</v>
      </c>
      <c r="C8" s="25"/>
    </row>
    <row r="9" customFormat="false" ht="14.25" hidden="false" customHeight="true" outlineLevel="0" collapsed="false">
      <c r="A9" s="20" t="s">
        <v>142</v>
      </c>
      <c r="B9" s="25" t="n">
        <v>8.72</v>
      </c>
      <c r="C9" s="25"/>
    </row>
    <row r="10" customFormat="false" ht="14.25" hidden="false" customHeight="true" outlineLevel="0" collapsed="false">
      <c r="A10" s="20" t="s">
        <v>143</v>
      </c>
      <c r="B10" s="25" t="n">
        <v>169006</v>
      </c>
      <c r="C10" s="25"/>
    </row>
    <row r="11" customFormat="false" ht="14.25" hidden="false" customHeight="true" outlineLevel="0" collapsed="false">
      <c r="A11" s="20" t="s">
        <v>144</v>
      </c>
      <c r="B11" s="25" t="n">
        <f aca="false">B6*B9</f>
        <v>195.2408</v>
      </c>
      <c r="C11" s="20"/>
    </row>
    <row r="12" customFormat="false" ht="14.25" hidden="false" customHeight="true" outlineLevel="0" collapsed="false">
      <c r="A12" s="20" t="s">
        <v>145</v>
      </c>
      <c r="B12" s="25" t="n">
        <f aca="false">C6*B10</f>
        <v>3620953.55</v>
      </c>
      <c r="C12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0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D53" activeCellId="0" sqref="D5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3.11"/>
    <col collapsed="false" customWidth="true" hidden="false" outlineLevel="0" max="4" min="2" style="1" width="12"/>
    <col collapsed="false" customWidth="true" hidden="false" outlineLevel="0" max="5" min="5" style="1" width="14.79"/>
    <col collapsed="false" customWidth="true" hidden="false" outlineLevel="0" max="6" min="6" style="1" width="9.56"/>
  </cols>
  <sheetData>
    <row r="1" customFormat="false" ht="14.25" hidden="false" customHeight="true" outlineLevel="0" collapsed="false">
      <c r="A1" s="4" t="s">
        <v>146</v>
      </c>
      <c r="B1" s="4"/>
      <c r="C1" s="4"/>
      <c r="D1" s="4"/>
    </row>
    <row r="2" customFormat="false" ht="14.25" hidden="false" customHeight="true" outlineLevel="0" collapsed="false">
      <c r="A2" s="6"/>
      <c r="B2" s="6" t="s">
        <v>3</v>
      </c>
      <c r="C2" s="6" t="s">
        <v>4</v>
      </c>
      <c r="D2" s="6" t="s">
        <v>5</v>
      </c>
    </row>
    <row r="3" customFormat="false" ht="14.25" hidden="false" customHeight="true" outlineLevel="0" collapsed="false">
      <c r="A3" s="20" t="s">
        <v>147</v>
      </c>
      <c r="B3" s="23" t="n">
        <f aca="false">'Income Statement'!B18</f>
        <v>114301</v>
      </c>
      <c r="C3" s="23" t="n">
        <f aca="false">'Income Statement'!C18</f>
        <v>123216</v>
      </c>
      <c r="D3" s="23" t="n">
        <f aca="false">'Income Statement'!D18</f>
        <v>133050</v>
      </c>
    </row>
    <row r="4" customFormat="false" ht="14.25" hidden="false" customHeight="true" outlineLevel="0" collapsed="false">
      <c r="A4" s="20" t="s">
        <v>148</v>
      </c>
      <c r="B4" s="23" t="n">
        <f aca="false">'Income Statement'!B21/'Income Statement'!B20</f>
        <v>0.147191742280369</v>
      </c>
      <c r="C4" s="23" t="n">
        <f aca="false">'Income Statement'!C21/'Income Statement'!C20</f>
        <v>0.2409118516419</v>
      </c>
      <c r="D4" s="23" t="n">
        <f aca="false">'Income Statement'!D21/'Income Statement'!D20</f>
        <v>0.15610002335586</v>
      </c>
    </row>
    <row r="5" customFormat="false" ht="14.25" hidden="false" customHeight="true" outlineLevel="0" collapsed="false">
      <c r="A5" s="20" t="s">
        <v>149</v>
      </c>
      <c r="B5" s="23" t="n">
        <f aca="false">B3*(1-B4)</f>
        <v>97476.8366656116</v>
      </c>
      <c r="C5" s="23" t="n">
        <f aca="false">C3*(1-C4)</f>
        <v>93531.8052880917</v>
      </c>
      <c r="D5" s="23" t="n">
        <f aca="false">D3*(1-D4)</f>
        <v>112280.891892503</v>
      </c>
    </row>
    <row r="6" customFormat="false" ht="14.25" hidden="false" customHeight="true" outlineLevel="0" collapsed="false">
      <c r="A6" s="20" t="s">
        <v>150</v>
      </c>
      <c r="B6" s="23" t="n">
        <f aca="false">'Cash Flow Statement'!B9</f>
        <v>11519</v>
      </c>
      <c r="C6" s="23" t="n">
        <f aca="false">'Cash Flow Statement'!C9</f>
        <v>11445</v>
      </c>
      <c r="D6" s="23" t="n">
        <f aca="false">'Cash Flow Statement'!D9</f>
        <v>11698</v>
      </c>
    </row>
    <row r="7" customFormat="false" ht="14.25" hidden="false" customHeight="true" outlineLevel="0" collapsed="false">
      <c r="A7" s="20" t="s">
        <v>151</v>
      </c>
      <c r="B7" s="23" t="n">
        <f aca="false">-'Cash Flow Statement'!B24</f>
        <v>10959</v>
      </c>
      <c r="C7" s="23" t="n">
        <f aca="false">-'Cash Flow Statement'!C24</f>
        <v>9447</v>
      </c>
      <c r="D7" s="23" t="n">
        <f aca="false">-'Cash Flow Statement'!D24</f>
        <v>12715</v>
      </c>
    </row>
    <row r="8" customFormat="false" ht="14.25" hidden="false" customHeight="true" outlineLevel="0" collapsed="false">
      <c r="A8" s="20"/>
      <c r="B8" s="23"/>
      <c r="C8" s="23"/>
      <c r="D8" s="23"/>
    </row>
    <row r="9" customFormat="false" ht="14.25" hidden="false" customHeight="true" outlineLevel="0" collapsed="false">
      <c r="A9" s="20" t="s">
        <v>152</v>
      </c>
      <c r="B9" s="23" t="n">
        <f aca="false">'Balance Sheet'!B4+'Balance Sheet'!B5+'Balance Sheet'!B6+'Balance Sheet'!B7</f>
        <v>75135</v>
      </c>
      <c r="C9" s="23" t="n">
        <f aca="false">'Balance Sheet'!C4+'Balance Sheet'!C5+'Balance Sheet'!C6+'Balance Sheet'!C7</f>
        <v>75479</v>
      </c>
      <c r="D9" s="23" t="n">
        <f aca="false">'Balance Sheet'!D4+'Balance Sheet'!D5+'Balance Sheet'!D6+'Balance Sheet'!D7</f>
        <v>81835</v>
      </c>
    </row>
    <row r="10" customFormat="false" ht="14.25" hidden="false" customHeight="true" outlineLevel="0" collapsed="false">
      <c r="A10" s="20" t="s">
        <v>153</v>
      </c>
      <c r="B10" s="23" t="n">
        <f aca="false">'Balance Sheet'!B14+'Balance Sheet'!B15+'Balance Sheet'!B16</f>
        <v>144259</v>
      </c>
      <c r="C10" s="23" t="n">
        <f aca="false">'Balance Sheet'!C14+'Balance Sheet'!C15+'Balance Sheet'!C16</f>
        <v>137159</v>
      </c>
      <c r="D10" s="23" t="n">
        <f aca="false">'Balance Sheet'!D14+'Balance Sheet'!D15+'Balance Sheet'!D16</f>
        <v>127557</v>
      </c>
    </row>
    <row r="11" customFormat="false" ht="14.25" hidden="false" customHeight="true" outlineLevel="0" collapsed="false">
      <c r="A11" s="20" t="s">
        <v>154</v>
      </c>
      <c r="B11" s="23" t="n">
        <f aca="false">B9-B10</f>
        <v>-69124</v>
      </c>
      <c r="C11" s="23" t="n">
        <f aca="false">C9-C10</f>
        <v>-61680</v>
      </c>
      <c r="D11" s="23" t="n">
        <f aca="false">D9-D10</f>
        <v>-45722</v>
      </c>
    </row>
    <row r="12" customFormat="false" ht="14.25" hidden="false" customHeight="true" outlineLevel="0" collapsed="false">
      <c r="A12" s="20" t="s">
        <v>155</v>
      </c>
      <c r="B12" s="23"/>
      <c r="C12" s="23" t="n">
        <f aca="false">C11-B11</f>
        <v>7444</v>
      </c>
      <c r="D12" s="23" t="n">
        <f aca="false">D11-C11</f>
        <v>15958</v>
      </c>
    </row>
    <row r="13" customFormat="false" ht="14.25" hidden="false" customHeight="true" outlineLevel="0" collapsed="false">
      <c r="A13" s="20" t="s">
        <v>156</v>
      </c>
      <c r="B13" s="23"/>
      <c r="C13" s="23" t="n">
        <f aca="false">-C12</f>
        <v>-7444</v>
      </c>
      <c r="D13" s="23" t="n">
        <f aca="false">-D12</f>
        <v>-15958</v>
      </c>
    </row>
    <row r="14" customFormat="false" ht="14.25" hidden="false" customHeight="true" outlineLevel="0" collapsed="false">
      <c r="A14" s="27" t="s">
        <v>157</v>
      </c>
      <c r="B14" s="11"/>
      <c r="C14" s="28" t="n">
        <f aca="false">C5+C6-C7+C13</f>
        <v>88085.8052880917</v>
      </c>
      <c r="D14" s="28" t="n">
        <f aca="false">D5+D6-D7+D13</f>
        <v>95305.8918925028</v>
      </c>
    </row>
    <row r="16" customFormat="false" ht="14.25" hidden="false" customHeight="true" outlineLevel="0" collapsed="false">
      <c r="A16" s="6" t="s">
        <v>158</v>
      </c>
      <c r="B16" s="6"/>
      <c r="C16" s="6"/>
      <c r="D16" s="24" t="n">
        <f aca="false">D14/'Income Statement'!D8</f>
        <v>0.229012069589661</v>
      </c>
    </row>
    <row r="19" customFormat="false" ht="14.25" hidden="false" customHeight="true" outlineLevel="0" collapsed="false">
      <c r="A19" s="4" t="s">
        <v>159</v>
      </c>
      <c r="B19" s="4" t="s">
        <v>160</v>
      </c>
      <c r="C19" s="4" t="s">
        <v>161</v>
      </c>
      <c r="D19" s="4" t="s">
        <v>162</v>
      </c>
      <c r="E19" s="4" t="s">
        <v>163</v>
      </c>
      <c r="F19" s="4" t="s">
        <v>164</v>
      </c>
    </row>
    <row r="20" customFormat="false" ht="14.25" hidden="false" customHeight="true" outlineLevel="0" collapsed="false">
      <c r="A20" s="20" t="s">
        <v>165</v>
      </c>
      <c r="B20" s="23" t="n">
        <v>0.065</v>
      </c>
      <c r="C20" s="23" t="n">
        <v>0.065</v>
      </c>
      <c r="D20" s="23" t="n">
        <v>0.065</v>
      </c>
      <c r="E20" s="20" t="n">
        <v>0.065</v>
      </c>
      <c r="F20" s="23" t="n">
        <v>0.065</v>
      </c>
    </row>
    <row r="21" customFormat="false" ht="14.25" hidden="false" customHeight="true" outlineLevel="0" collapsed="false">
      <c r="A21" s="20" t="s">
        <v>166</v>
      </c>
      <c r="B21" s="23" t="n">
        <f aca="false">'Income Statement'!D8*(1+B20)</f>
        <v>443211.465</v>
      </c>
      <c r="C21" s="23" t="n">
        <f aca="false">B21*(1+C20)</f>
        <v>472020.210225</v>
      </c>
      <c r="D21" s="23" t="n">
        <f aca="false">C21*(1+D20)</f>
        <v>502701.523889625</v>
      </c>
      <c r="E21" s="20" t="n">
        <f aca="false">D21*(1+E20)</f>
        <v>535377.122942451</v>
      </c>
      <c r="F21" s="23" t="n">
        <f aca="false">E21*(1+F20)</f>
        <v>570176.63593371</v>
      </c>
    </row>
    <row r="22" customFormat="false" ht="14.25" hidden="false" customHeight="true" outlineLevel="0" collapsed="false">
      <c r="A22" s="11" t="s">
        <v>167</v>
      </c>
      <c r="B22" s="11" t="n">
        <f aca="false">B21*$D$16</f>
        <v>101500.774865515</v>
      </c>
      <c r="C22" s="11" t="n">
        <f aca="false">C21*$D$16</f>
        <v>108098.325231774</v>
      </c>
      <c r="D22" s="11" t="n">
        <f aca="false">D21*$D$16</f>
        <v>115124.716371839</v>
      </c>
      <c r="E22" s="11" t="n">
        <f aca="false">E21*$D$16</f>
        <v>122607.822936009</v>
      </c>
      <c r="F22" s="11" t="n">
        <f aca="false">F21*$D$16</f>
        <v>130577.331426849</v>
      </c>
    </row>
    <row r="23" customFormat="false" ht="14.25" hidden="false" customHeight="true" outlineLevel="0" collapsed="false">
      <c r="A23" s="20" t="s">
        <v>168</v>
      </c>
      <c r="B23" s="29" t="n">
        <v>1</v>
      </c>
      <c r="C23" s="29" t="n">
        <v>2</v>
      </c>
      <c r="D23" s="29" t="n">
        <v>3</v>
      </c>
      <c r="E23" s="30" t="n">
        <v>4</v>
      </c>
      <c r="F23" s="29" t="n">
        <v>5</v>
      </c>
    </row>
    <row r="24" customFormat="false" ht="14.25" hidden="false" customHeight="true" outlineLevel="0" collapsed="false">
      <c r="A24" s="20" t="s">
        <v>169</v>
      </c>
      <c r="B24" s="23" t="n">
        <f aca="false">B22/(1+$B$38)^B23</f>
        <v>92621.1364343902</v>
      </c>
      <c r="C24" s="23" t="n">
        <f aca="false">C22/(1+$B$38)^C23</f>
        <v>90012.0102131142</v>
      </c>
      <c r="D24" s="23" t="n">
        <f aca="false">D22/(1+$B$38)^D23</f>
        <v>87476.382762212</v>
      </c>
      <c r="E24" s="20" t="n">
        <f aca="false">E22/(1+$B$38)^E23</f>
        <v>85012.1836302036</v>
      </c>
      <c r="F24" s="23" t="n">
        <f aca="false">F22/(1+$B$38)^F23</f>
        <v>82617.4006899769</v>
      </c>
    </row>
    <row r="25" customFormat="false" ht="14.25" hidden="false" customHeight="true" outlineLevel="0" collapsed="false">
      <c r="A25" s="20" t="s">
        <v>170</v>
      </c>
      <c r="B25" s="23" t="n">
        <v>0.0484</v>
      </c>
      <c r="C25" s="20"/>
      <c r="D25" s="20"/>
      <c r="E25" s="20"/>
      <c r="F25" s="20"/>
    </row>
    <row r="26" customFormat="false" ht="14.25" hidden="false" customHeight="true" outlineLevel="0" collapsed="false">
      <c r="A26" s="20" t="s">
        <v>171</v>
      </c>
      <c r="B26" s="23" t="n">
        <v>1.09</v>
      </c>
      <c r="C26" s="20"/>
      <c r="D26" s="20"/>
      <c r="E26" s="20"/>
      <c r="F26" s="20"/>
    </row>
    <row r="27" customFormat="false" ht="14.25" hidden="false" customHeight="true" outlineLevel="0" collapsed="false">
      <c r="A27" s="20" t="s">
        <v>172</v>
      </c>
      <c r="B27" s="23" t="n">
        <v>0.0445</v>
      </c>
      <c r="C27" s="20"/>
      <c r="D27" s="20"/>
      <c r="E27" s="20"/>
      <c r="F27" s="20"/>
    </row>
    <row r="28" customFormat="false" ht="14.25" hidden="false" customHeight="true" outlineLevel="0" collapsed="false">
      <c r="A28" s="27" t="s">
        <v>173</v>
      </c>
      <c r="B28" s="31" t="n">
        <f aca="false">B25+(B26*B27)</f>
        <v>0.096905</v>
      </c>
      <c r="C28" s="27"/>
      <c r="D28" s="27"/>
      <c r="E28" s="27"/>
      <c r="F28" s="27"/>
    </row>
    <row r="29" customFormat="false" ht="14.25" hidden="false" customHeight="true" outlineLevel="0" collapsed="false">
      <c r="A29" s="20"/>
      <c r="B29" s="32"/>
      <c r="C29" s="32"/>
      <c r="D29" s="32"/>
      <c r="E29" s="32"/>
      <c r="F29" s="32"/>
    </row>
    <row r="30" customFormat="false" ht="14.25" hidden="false" customHeight="true" outlineLevel="0" collapsed="false">
      <c r="A30" s="20" t="s">
        <v>174</v>
      </c>
      <c r="B30" s="23" t="n">
        <f aca="false">319.97*14590</f>
        <v>4668362.3</v>
      </c>
      <c r="C30" s="32"/>
      <c r="D30" s="32"/>
      <c r="E30" s="32"/>
      <c r="F30" s="32"/>
    </row>
    <row r="31" customFormat="false" ht="14.25" hidden="false" customHeight="true" outlineLevel="0" collapsed="false">
      <c r="A31" s="20" t="s">
        <v>175</v>
      </c>
      <c r="B31" s="23" t="n">
        <f aca="false">'Balance Sheet'!D26+'Balance Sheet'!D27+'Balance Sheet'!D30</f>
        <v>98657</v>
      </c>
      <c r="C31" s="32"/>
      <c r="D31" s="32"/>
      <c r="E31" s="32"/>
      <c r="F31" s="32"/>
    </row>
    <row r="32" customFormat="false" ht="14.25" hidden="false" customHeight="true" outlineLevel="0" collapsed="false">
      <c r="A32" s="27" t="s">
        <v>176</v>
      </c>
      <c r="B32" s="27" t="n">
        <f aca="false">B30+B31</f>
        <v>4767019.3</v>
      </c>
      <c r="C32" s="27"/>
      <c r="D32" s="27"/>
      <c r="E32" s="27"/>
      <c r="F32" s="27"/>
    </row>
    <row r="33" customFormat="false" ht="14.25" hidden="false" customHeight="true" outlineLevel="0" collapsed="false">
      <c r="A33" s="20" t="s">
        <v>177</v>
      </c>
      <c r="B33" s="23" t="n">
        <f aca="false">B30/B32</f>
        <v>0.979304258323435</v>
      </c>
      <c r="C33" s="20"/>
      <c r="D33" s="20"/>
      <c r="E33" s="20"/>
      <c r="F33" s="20"/>
    </row>
    <row r="34" customFormat="false" ht="14.25" hidden="false" customHeight="true" outlineLevel="0" collapsed="false">
      <c r="A34" s="20" t="s">
        <v>178</v>
      </c>
      <c r="B34" s="23" t="n">
        <f aca="false">B31/B32</f>
        <v>0.0206957416765651</v>
      </c>
      <c r="C34" s="20"/>
      <c r="D34" s="20"/>
      <c r="E34" s="20"/>
      <c r="F34" s="20"/>
    </row>
    <row r="35" customFormat="false" ht="14.25" hidden="false" customHeight="true" outlineLevel="0" collapsed="false">
      <c r="A35" s="20" t="s">
        <v>179</v>
      </c>
      <c r="B35" s="23" t="n">
        <v>0.0556</v>
      </c>
      <c r="C35" s="20"/>
      <c r="D35" s="20"/>
      <c r="E35" s="20"/>
      <c r="F35" s="20"/>
    </row>
    <row r="36" customFormat="false" ht="14.25" hidden="false" customHeight="true" outlineLevel="0" collapsed="false">
      <c r="A36" s="20" t="s">
        <v>180</v>
      </c>
      <c r="B36" s="23" t="n">
        <f aca="false">B35*(1-'Income Statement'!D21/'Income Statement'!D20)</f>
        <v>0.0469208387014142</v>
      </c>
      <c r="C36" s="20"/>
      <c r="D36" s="20"/>
      <c r="E36" s="20"/>
      <c r="F36" s="20"/>
    </row>
    <row r="37" customFormat="false" ht="14.25" hidden="false" customHeight="true" outlineLevel="0" collapsed="false">
      <c r="A37" s="20"/>
      <c r="B37" s="23"/>
      <c r="C37" s="20"/>
      <c r="D37" s="20"/>
      <c r="E37" s="20"/>
      <c r="F37" s="20"/>
    </row>
    <row r="38" customFormat="false" ht="14.25" hidden="false" customHeight="true" outlineLevel="0" collapsed="false">
      <c r="A38" s="27" t="s">
        <v>181</v>
      </c>
      <c r="B38" s="33" t="n">
        <f aca="false">(B33*B28)+(B34*B36)</f>
        <v>0.0958705407098447</v>
      </c>
      <c r="C38" s="27"/>
      <c r="D38" s="27"/>
      <c r="E38" s="27"/>
      <c r="F38" s="27"/>
    </row>
    <row r="40" customFormat="false" ht="14.25" hidden="false" customHeight="true" outlineLevel="0" collapsed="false">
      <c r="A40" s="20" t="s">
        <v>182</v>
      </c>
      <c r="B40" s="1" t="n">
        <v>0.025</v>
      </c>
      <c r="C40" s="20"/>
      <c r="D40" s="20"/>
      <c r="E40" s="20"/>
      <c r="F40" s="20"/>
    </row>
    <row r="41" customFormat="false" ht="14.25" hidden="false" customHeight="true" outlineLevel="0" collapsed="false">
      <c r="A41" s="20" t="s">
        <v>183</v>
      </c>
      <c r="B41" s="23" t="n">
        <f aca="false">(F22*(1+B40))/(B38-B40)</f>
        <v>1888538.78313826</v>
      </c>
      <c r="C41" s="20"/>
      <c r="D41" s="20"/>
      <c r="E41" s="20"/>
      <c r="F41" s="20"/>
    </row>
    <row r="42" customFormat="false" ht="14.25" hidden="false" customHeight="true" outlineLevel="0" collapsed="false">
      <c r="A42" s="20" t="s">
        <v>184</v>
      </c>
      <c r="B42" s="23" t="n">
        <f aca="false">B41/(1+$B$38)^F23</f>
        <v>1194894.73142206</v>
      </c>
      <c r="C42" s="20"/>
      <c r="D42" s="20"/>
      <c r="E42" s="20"/>
      <c r="F42" s="20"/>
    </row>
    <row r="43" customFormat="false" ht="14.25" hidden="false" customHeight="true" outlineLevel="0" collapsed="false">
      <c r="A43" s="20"/>
      <c r="B43" s="23"/>
      <c r="C43" s="20"/>
      <c r="D43" s="20"/>
      <c r="E43" s="20"/>
      <c r="F43" s="20"/>
    </row>
    <row r="44" customFormat="false" ht="14.25" hidden="false" customHeight="true" outlineLevel="0" collapsed="false">
      <c r="A44" s="20" t="s">
        <v>185</v>
      </c>
      <c r="B44" s="23" t="n">
        <f aca="false">SUM(B24:F24)</f>
        <v>437739.113729897</v>
      </c>
      <c r="C44" s="20"/>
      <c r="D44" s="20"/>
      <c r="E44" s="20"/>
      <c r="F44" s="20"/>
    </row>
    <row r="45" customFormat="false" ht="14.25" hidden="false" customHeight="true" outlineLevel="0" collapsed="false">
      <c r="A45" s="20" t="s">
        <v>186</v>
      </c>
      <c r="B45" s="23" t="n">
        <f aca="false">B44+B42</f>
        <v>1632633.84515196</v>
      </c>
      <c r="C45" s="20"/>
      <c r="D45" s="20"/>
      <c r="E45" s="20"/>
      <c r="F45" s="20"/>
    </row>
    <row r="46" customFormat="false" ht="14.25" hidden="false" customHeight="true" outlineLevel="0" collapsed="false">
      <c r="A46" s="20" t="s">
        <v>187</v>
      </c>
      <c r="B46" s="23" t="n">
        <f aca="false">'Balance Sheet'!D26+'Balance Sheet'!D27+'Balance Sheet'!D30</f>
        <v>98657</v>
      </c>
      <c r="C46" s="20"/>
      <c r="D46" s="20"/>
      <c r="E46" s="20"/>
      <c r="F46" s="20"/>
    </row>
    <row r="47" customFormat="false" ht="14.25" hidden="false" customHeight="true" outlineLevel="0" collapsed="false">
      <c r="A47" s="20" t="s">
        <v>188</v>
      </c>
      <c r="B47" s="23" t="n">
        <f aca="false">'Balance Sheet'!D7</f>
        <v>35934</v>
      </c>
      <c r="C47" s="20"/>
      <c r="D47" s="20"/>
      <c r="E47" s="20"/>
      <c r="F47" s="20"/>
    </row>
    <row r="48" customFormat="false" ht="14.25" hidden="false" customHeight="true" outlineLevel="0" collapsed="false">
      <c r="A48" s="20" t="s">
        <v>189</v>
      </c>
      <c r="B48" s="23" t="n">
        <f aca="false">B45-B46+B47</f>
        <v>1569910.84515196</v>
      </c>
      <c r="C48" s="20"/>
      <c r="D48" s="20"/>
      <c r="E48" s="20"/>
      <c r="F48" s="20"/>
    </row>
    <row r="49" customFormat="false" ht="14.25" hidden="false" customHeight="true" outlineLevel="0" collapsed="false">
      <c r="A49" s="20" t="s">
        <v>190</v>
      </c>
      <c r="B49" s="23" t="n">
        <v>14590</v>
      </c>
      <c r="C49" s="20"/>
      <c r="D49" s="20"/>
      <c r="E49" s="20"/>
      <c r="F49" s="20"/>
    </row>
    <row r="50" customFormat="false" ht="14.25" hidden="false" customHeight="true" outlineLevel="0" collapsed="false">
      <c r="A50" s="27" t="s">
        <v>191</v>
      </c>
      <c r="B50" s="34" t="n">
        <f aca="false">B48/B49</f>
        <v>107.601839969291</v>
      </c>
      <c r="C50" s="27"/>
      <c r="D50" s="27"/>
      <c r="E50" s="27"/>
      <c r="F5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7.22"/>
    <col collapsed="false" customWidth="true" hidden="false" outlineLevel="0" max="2" min="2" style="1" width="10.56"/>
  </cols>
  <sheetData>
    <row r="1" customFormat="false" ht="14.25" hidden="false" customHeight="true" outlineLevel="0" collapsed="false">
      <c r="A1" s="6" t="s">
        <v>192</v>
      </c>
      <c r="B1" s="6"/>
    </row>
    <row r="2" customFormat="false" ht="14.25" hidden="false" customHeight="true" outlineLevel="0" collapsed="false">
      <c r="A2" s="20" t="s">
        <v>193</v>
      </c>
      <c r="B2" s="23" t="n">
        <f aca="false">'Balance Sheet'!D13-'Balance Sheet'!D28</f>
        <v>-17674</v>
      </c>
    </row>
    <row r="3" customFormat="false" ht="14.25" hidden="false" customHeight="true" outlineLevel="0" collapsed="false">
      <c r="A3" s="20" t="s">
        <v>194</v>
      </c>
      <c r="B3" s="23" t="n">
        <f aca="false">'Balance Sheet'!D19</f>
        <v>359241</v>
      </c>
    </row>
    <row r="4" customFormat="false" ht="14.25" hidden="false" customHeight="true" outlineLevel="0" collapsed="false">
      <c r="A4" s="20" t="s">
        <v>195</v>
      </c>
      <c r="B4" s="23" t="n">
        <f aca="false">B2/B3</f>
        <v>-0.049198170587433</v>
      </c>
    </row>
    <row r="5" customFormat="false" ht="14.25" hidden="false" customHeight="true" outlineLevel="0" collapsed="false">
      <c r="A5" s="20" t="s">
        <v>196</v>
      </c>
      <c r="B5" s="23" t="n">
        <f aca="false">'Balance Sheet'!D37</f>
        <v>-14264</v>
      </c>
    </row>
    <row r="6" customFormat="false" ht="14.25" hidden="false" customHeight="true" outlineLevel="0" collapsed="false">
      <c r="A6" s="6" t="s">
        <v>196</v>
      </c>
      <c r="B6" s="6"/>
    </row>
    <row r="7" customFormat="false" ht="14.25" hidden="false" customHeight="true" outlineLevel="0" collapsed="false">
      <c r="A7" s="20" t="s">
        <v>197</v>
      </c>
      <c r="B7" s="23" t="n">
        <f aca="false">'Balance Sheet'!D37</f>
        <v>-14264</v>
      </c>
    </row>
    <row r="8" customFormat="false" ht="14.25" hidden="false" customHeight="true" outlineLevel="0" collapsed="false">
      <c r="A8" s="20" t="s">
        <v>198</v>
      </c>
      <c r="B8" s="23" t="n">
        <f aca="false">B7/B3</f>
        <v>-0.039705935569715</v>
      </c>
    </row>
    <row r="9" customFormat="false" ht="14.25" hidden="false" customHeight="true" outlineLevel="0" collapsed="false">
      <c r="A9" s="6" t="s">
        <v>199</v>
      </c>
      <c r="B9" s="6"/>
    </row>
    <row r="10" customFormat="false" ht="14.25" hidden="false" customHeight="true" outlineLevel="0" collapsed="false">
      <c r="A10" s="20" t="s">
        <v>200</v>
      </c>
      <c r="B10" s="23" t="n">
        <f aca="false">'Income Statement'!D18</f>
        <v>133050</v>
      </c>
    </row>
    <row r="11" customFormat="false" ht="14.25" hidden="false" customHeight="true" outlineLevel="0" collapsed="false">
      <c r="A11" s="20" t="s">
        <v>201</v>
      </c>
      <c r="B11" s="23" t="n">
        <f aca="false">B10/B3</f>
        <v>0.370364184488964</v>
      </c>
    </row>
    <row r="12" customFormat="false" ht="14.25" hidden="false" customHeight="true" outlineLevel="0" collapsed="false">
      <c r="A12" s="6" t="s">
        <v>202</v>
      </c>
      <c r="B12" s="6"/>
    </row>
    <row r="13" customFormat="false" ht="14.25" hidden="false" customHeight="true" outlineLevel="0" collapsed="false">
      <c r="A13" s="20" t="s">
        <v>203</v>
      </c>
      <c r="B13" s="23" t="n">
        <f aca="false">'DCF Valuation'!B30</f>
        <v>4668362.3</v>
      </c>
    </row>
    <row r="14" customFormat="false" ht="14.25" hidden="false" customHeight="true" outlineLevel="0" collapsed="false">
      <c r="A14" s="20" t="s">
        <v>204</v>
      </c>
      <c r="B14" s="23" t="n">
        <f aca="false">'Balance Sheet'!D33</f>
        <v>285508</v>
      </c>
    </row>
    <row r="15" customFormat="false" ht="14.25" hidden="false" customHeight="true" outlineLevel="0" collapsed="false">
      <c r="A15" s="20" t="s">
        <v>205</v>
      </c>
      <c r="B15" s="23" t="n">
        <f aca="false">B13/B14</f>
        <v>16.3510735250851</v>
      </c>
    </row>
    <row r="16" customFormat="false" ht="14.25" hidden="false" customHeight="true" outlineLevel="0" collapsed="false">
      <c r="A16" s="6" t="s">
        <v>206</v>
      </c>
      <c r="B16" s="6"/>
    </row>
    <row r="17" customFormat="false" ht="14.25" hidden="false" customHeight="true" outlineLevel="0" collapsed="false">
      <c r="A17" s="20" t="s">
        <v>14</v>
      </c>
      <c r="B17" s="23" t="n">
        <f aca="false">'Income Statement'!D8</f>
        <v>416161</v>
      </c>
    </row>
    <row r="18" customFormat="false" ht="14.25" hidden="false" customHeight="true" outlineLevel="0" collapsed="false">
      <c r="A18" s="20" t="s">
        <v>207</v>
      </c>
      <c r="B18" s="23" t="n">
        <f aca="false">B17/B3</f>
        <v>1.1584451663368</v>
      </c>
    </row>
    <row r="19" customFormat="false" ht="14.25" hidden="false" customHeight="true" outlineLevel="0" collapsed="false">
      <c r="A19" s="35" t="s">
        <v>208</v>
      </c>
      <c r="B19" s="36" t="n">
        <f aca="false">(1.2*B4)+(1.4*B8)+(3.3*B11)+(0.6*B15)+(1*B18)</f>
        <v>12.0766649756989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2026-09-04T10:43:15Z</dcterms:created>
  <dc:creator>openpyxl</dc:creator>
  <dc:description/>
  <dc:language>en-US</dc:language>
  <cp:lastModifiedBy>Manar Mohammed Ebrahim</cp:lastModifiedBy>
  <dcterms:modified xsi:type="dcterms:W3CDTF">2026-09-13T09:17:49Z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